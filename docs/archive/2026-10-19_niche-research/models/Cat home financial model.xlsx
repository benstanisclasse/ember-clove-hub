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t_UnitEcon" sheetId="3" state="visible" r:id="rId3"/>
    <sheet xmlns:r="http://schemas.openxmlformats.org/officeDocument/2006/relationships" name="Cat_Cohort" sheetId="4" state="visible" r:id="rId4"/>
    <sheet xmlns:r="http://schemas.openxmlformats.org/officeDocument/2006/relationships" name="Espresso_UnitEcon" sheetId="5" state="visible" r:id="rId5"/>
    <sheet xmlns:r="http://schemas.openxmlformats.org/officeDocument/2006/relationships" name="Espresso_Cohort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Launch_Budget" sheetId="9" state="visible" r:id="rId9"/>
    <sheet xmlns:r="http://schemas.openxmlformats.org/officeDocument/2006/relationships" name="GoNoGo" sheetId="10" state="visible" r:id="rId10"/>
    <sheet xmlns:r="http://schemas.openxmlformats.org/officeDocument/2006/relationships" name="Reposition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;(#,##0);&quot;-&quot;"/>
    <numFmt numFmtId="165" formatCode="$#,##0.00;($#,##0.00);&quot;-&quot;"/>
    <numFmt numFmtId="166" formatCode="0.0%;(0.0%);&quot;-&quot;"/>
    <numFmt numFmtId="167" formatCode="0.0000%"/>
    <numFmt numFmtId="168" formatCode="$#,##0;($#,##0);&quot;-&quot;"/>
    <numFmt numFmtId="169" formatCode="#,##0.00;(#,##0.00);&quot;-&quot;"/>
    <numFmt numFmtId="170" formatCode="0.00&quot;x&quot;;(0.00&quot;x&quot;);&quot;-&quot;"/>
    <numFmt numFmtId="171" formatCode="#,##0.0;(#,##0.0);&quot;-&quot;"/>
  </numFmts>
  <fonts count="15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000000"/>
      <sz val="10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color rgb="0080808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808080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b val="1"/>
      <color rgb="00008000"/>
      <sz val="10"/>
    </font>
    <font>
      <name val="Arial"/>
      <b val="1"/>
      <color rgb="00000000"/>
      <sz val="16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4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12" fillId="0" borderId="0" applyAlignment="1" pivotButton="0" quotePrefix="0" xfId="0">
      <alignment vertical="top" wrapText="1"/>
    </xf>
    <xf numFmtId="164" fontId="13" fillId="0" borderId="0" pivotButton="0" quotePrefix="0" xfId="0"/>
    <xf numFmtId="0" fontId="13" fillId="0" borderId="0" pivotButton="0" quotePrefix="0" xfId="0"/>
    <xf numFmtId="169" fontId="8" fillId="5" borderId="0" pivotButton="0" quotePrefix="0" xfId="0"/>
    <xf numFmtId="164" fontId="8" fillId="2" borderId="0" pivotButton="0" quotePrefix="0" xfId="0"/>
    <xf numFmtId="169" fontId="7" fillId="0" borderId="0" pivotButton="0" quotePrefix="0" xfId="0"/>
    <xf numFmtId="164" fontId="10" fillId="0" borderId="0" pivotButton="0" quotePrefix="0" xfId="0"/>
    <xf numFmtId="169" fontId="3" fillId="6" borderId="0" pivotButton="0" quotePrefix="0" xfId="0"/>
    <xf numFmtId="0" fontId="9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0" borderId="0" pivotButton="0" quotePrefix="0" xfId="0"/>
    <xf numFmtId="164" fontId="8" fillId="5" borderId="0" pivotButton="0" quotePrefix="0" xfId="0"/>
    <xf numFmtId="164" fontId="3" fillId="0" borderId="0" pivotButton="0" quotePrefix="0" xfId="0"/>
    <xf numFmtId="165" fontId="8" fillId="5" borderId="0" pivotButton="0" quotePrefix="0" xfId="0"/>
    <xf numFmtId="165" fontId="3" fillId="0" borderId="0" pivotButton="0" quotePrefix="0" xfId="0"/>
    <xf numFmtId="166" fontId="8" fillId="5" borderId="0" pivotButton="0" quotePrefix="0" xfId="0"/>
    <xf numFmtId="166" fontId="3" fillId="0" borderId="0" pivotButton="0" quotePrefix="0" xfId="0"/>
    <xf numFmtId="165" fontId="7" fillId="0" borderId="0" pivotButton="0" quotePrefix="0" xfId="0"/>
    <xf numFmtId="167" fontId="8" fillId="5" borderId="0" pivotButton="0" quotePrefix="0" xfId="0"/>
    <xf numFmtId="167" fontId="3" fillId="0" borderId="0" pivotButton="0" quotePrefix="0" xfId="0"/>
    <xf numFmtId="168" fontId="8" fillId="5" borderId="0" pivotButton="0" quotePrefix="0" xfId="0"/>
    <xf numFmtId="168" fontId="3" fillId="0" borderId="0" pivotButton="0" quotePrefix="0" xfId="0"/>
    <xf numFmtId="0" fontId="2" fillId="4" borderId="0" pivotButton="0" quotePrefix="0" xfId="0"/>
    <xf numFmtId="169" fontId="3" fillId="0" borderId="0" pivotButton="0" quotePrefix="0" xfId="0"/>
    <xf numFmtId="168" fontId="7" fillId="0" borderId="0" pivotButton="0" quotePrefix="0" xfId="0"/>
    <xf numFmtId="166" fontId="7" fillId="0" borderId="0" pivotButton="0" quotePrefix="0" xfId="0"/>
    <xf numFmtId="170" fontId="8" fillId="5" borderId="0" pivotButton="0" quotePrefix="0" xfId="0"/>
    <xf numFmtId="170" fontId="3" fillId="0" borderId="0" pivotButton="0" quotePrefix="0" xfId="0"/>
    <xf numFmtId="170" fontId="7" fillId="0" borderId="0" pivotButton="0" quotePrefix="0" xfId="0"/>
    <xf numFmtId="170" fontId="10" fillId="0" borderId="0" pivotButton="0" quotePrefix="0" xfId="0"/>
    <xf numFmtId="165" fontId="10" fillId="0" borderId="0" pivotButton="0" quotePrefix="0" xfId="0"/>
    <xf numFmtId="0" fontId="3" fillId="4" borderId="0" applyAlignment="1" pivotButton="0" quotePrefix="0" xfId="0">
      <alignment vertical="top" wrapText="1"/>
    </xf>
    <xf numFmtId="164" fontId="7" fillId="0" borderId="0" pivotButton="0" quotePrefix="0" xfId="0"/>
    <xf numFmtId="165" fontId="3" fillId="6" borderId="0" pivotButton="0" quotePrefix="0" xfId="0"/>
    <xf numFmtId="0" fontId="11" fillId="3" borderId="0" pivotButton="0" quotePrefix="0" xfId="0"/>
    <xf numFmtId="0" fontId="0" fillId="3" borderId="0" pivotButton="0" quotePrefix="0" xfId="0"/>
    <xf numFmtId="166" fontId="10" fillId="0" borderId="0" pivotButton="0" quotePrefix="0" xfId="0"/>
    <xf numFmtId="171" fontId="7" fillId="0" borderId="0" pivotButton="0" quotePrefix="0" xfId="0"/>
    <xf numFmtId="164" fontId="3" fillId="4" borderId="0" pivotButton="0" quotePrefix="0" xfId="0"/>
    <xf numFmtId="171" fontId="3" fillId="0" borderId="0" pivotButton="0" quotePrefix="0" xfId="0"/>
    <xf numFmtId="168" fontId="3" fillId="6" borderId="0" pivotButton="0" quotePrefix="0" xfId="0"/>
    <xf numFmtId="168" fontId="2" fillId="0" borderId="0" pivotButton="0" quotePrefix="0" xfId="0"/>
    <xf numFmtId="164" fontId="6" fillId="0" borderId="0" pivotButton="0" quotePrefix="0" xfId="0"/>
    <xf numFmtId="0" fontId="3" fillId="6" borderId="0" pivotButton="0" quotePrefix="0" xfId="0"/>
    <xf numFmtId="170" fontId="3" fillId="6" borderId="0" pivotButton="0" quotePrefix="0" xfId="0"/>
    <xf numFmtId="0" fontId="12" fillId="0" borderId="0" pivotButton="0" quotePrefix="0" xfId="0"/>
    <xf numFmtId="165" fontId="13" fillId="6" borderId="0" pivotButton="0" quotePrefix="0" xfId="0"/>
    <xf numFmtId="0" fontId="13" fillId="6" borderId="0" pivotButton="0" quotePrefix="0" xfId="0"/>
    <xf numFmtId="168" fontId="10" fillId="0" borderId="0" pivotButton="0" quotePrefix="0" xfId="0"/>
    <xf numFmtId="0" fontId="5" fillId="3" borderId="0" applyAlignment="1" pivotButton="0" quotePrefix="0" xfId="0">
      <alignment vertical="top" wrapText="1"/>
    </xf>
    <xf numFmtId="0" fontId="10" fillId="0" borderId="0" pivotButton="0" quotePrefix="0" xfId="0"/>
    <xf numFmtId="0" fontId="3" fillId="0" borderId="0" applyAlignment="1" pivotButton="0" quotePrefix="0" xfId="0">
      <alignment vertical="top" wrapText="1"/>
    </xf>
    <xf numFmtId="165" fontId="13" fillId="0" borderId="0" pivotButton="0" quotePrefix="0" xfId="0"/>
    <xf numFmtId="0" fontId="7" fillId="0" borderId="0" applyAlignment="1" pivotButton="0" quotePrefix="0" xfId="0">
      <alignment vertical="top" wrapText="1"/>
    </xf>
    <xf numFmtId="166" fontId="13" fillId="0" borderId="0" pivotButton="0" quotePrefix="0" xfId="0"/>
    <xf numFmtId="170" fontId="1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0" workbookViewId="0">
      <selection activeCell="A1" sqref="A1"/>
    </sheetView>
  </sheetViews>
  <sheetFormatPr baseColWidth="8" defaultRowHeight="15"/>
  <cols>
    <col width="150" customWidth="1" min="1" max="1"/>
    <col width="12" customWidth="1" min="2" max="2"/>
    <col width="48" customWidth="1" min="3" max="3"/>
  </cols>
  <sheetData>
    <row r="1">
      <c r="A1" s="1" t="inlineStr">
        <is>
          <t>Cat home financial model (Checkpoint 4, Phase G)</t>
        </is>
      </c>
    </row>
    <row r="2">
      <c r="A2" s="2" t="inlineStr">
        <is>
          <t>Investor-style e-commerce study | as of October 19, 2026 | US Shopify DTC</t>
        </is>
      </c>
    </row>
    <row r="3">
      <c r="A3" s="3" t="inlineStr"/>
    </row>
    <row r="4">
      <c r="A4" s="4" t="inlineStr">
        <is>
          <t>PURPOSE</t>
        </is>
      </c>
      <c r="B4" s="5" t="n"/>
      <c r="C4" s="5" t="n"/>
    </row>
    <row r="5">
      <c r="A5" s="3" t="inlineStr">
        <is>
          <t>Unit economics, 24-month cohort LTV, scenarios, sensitivities, launch cash and go/no-go gates for:</t>
        </is>
      </c>
    </row>
    <row r="6">
      <c r="A6" s="3" t="inlineStr">
        <is>
          <t xml:space="preserve">  BASE CASE: cat home brand - corded/USB stainless water fountain with a 90-day filter pack subscription (US-stocked filters), litter mat add-on.</t>
        </is>
      </c>
    </row>
    <row r="7">
      <c r="A7" s="3" t="inlineStr">
        <is>
          <t xml:space="preserve">  SHADOW CASE: espresso upgrade brand - De'Longhi Dedica / 51mm kit (portafilter, tamper, WDT, puck screen) with beans via Roastify / Dripshipper.</t>
        </is>
      </c>
    </row>
    <row r="8">
      <c r="A8" s="3" t="inlineStr"/>
    </row>
    <row r="9" ht="44" customHeight="1">
      <c r="A9" s="6" t="inlineStr">
        <is>
          <t>IMPORTANT: inputs tagged ASSUMPTION are the analyst's planning values. They are NOT market facts and must be replaced with quotes, test results and real campaign data as they arrive. Only FILING / VENDOR / SECONDHAND rows trace to a cited source; ESTIMATE rows are arithmetic on cited inputs.</t>
        </is>
      </c>
    </row>
    <row r="10">
      <c r="A10" s="3" t="inlineStr"/>
    </row>
    <row r="11">
      <c r="A11" s="4" t="inlineStr">
        <is>
          <t>SCENARIO SELECTOR</t>
        </is>
      </c>
      <c r="B11" s="5" t="n"/>
      <c r="C11" s="5" t="n"/>
    </row>
    <row r="12">
      <c r="A12" s="3" t="inlineStr">
        <is>
          <t>Change Inputs!D3 (1 = Pessimistic, 2 = Base, 3 = Optimistic). Current selection:</t>
        </is>
      </c>
      <c r="B12" s="7">
        <f>Inputs!$D$3</f>
        <v>2.0</v>
      </c>
      <c r="C12" s="8" t="str">
        <f>Inputs!$E$3</f>
        <v>Base</v>
      </c>
    </row>
    <row r="13">
      <c r="A13" s="3" t="inlineStr">
        <is>
          <t>Change Inputs!D4 (1 = Test stage: AliExpress + CPA m1-3; 2 = Private label + CPA m4-12) to choose which first order the cohort uses:</t>
        </is>
      </c>
      <c r="B13" s="7">
        <f>Inputs!$D$4</f>
        <v>2.0</v>
      </c>
      <c r="C13" s="8" t="str">
        <f>Inputs!$E$4</f>
        <v>Private label (OEM + 3PL, CPA months 4-12)</v>
      </c>
    </row>
    <row r="14">
      <c r="A14" s="3" t="inlineStr">
        <is>
          <t>Change Inputs!D5 (1 = Lean, 2 = Moderate, 3 = Higher-capital) to choose the launch tier used by GoNoGo:</t>
        </is>
      </c>
      <c r="B14" s="7">
        <f>Inputs!$D$5</f>
        <v>1.0</v>
      </c>
      <c r="C14" s="8" t="str">
        <f>Inputs!$E$5</f>
        <v>Lean</v>
      </c>
    </row>
    <row r="15">
      <c r="A15" s="3" t="inlineStr">
        <is>
          <t>The Scenarios sheet always shows all three scenarios side by side (independent engine columns), whatever the selector says.</t>
        </is>
      </c>
    </row>
    <row r="16">
      <c r="A16" s="3" t="inlineStr"/>
    </row>
    <row r="17">
      <c r="A17" s="4" t="inlineStr">
        <is>
          <t>HOW TO USE</t>
        </is>
      </c>
      <c r="B17" s="5" t="n"/>
      <c r="C17" s="5" t="n"/>
    </row>
    <row r="18">
      <c r="A18" s="3" t="inlineStr">
        <is>
          <t>1. Edit only blue cells on light-yellow fill (Inputs sheet; shock sizes and two-way axes on Sensitivity). Everything else is a formula.</t>
        </is>
      </c>
    </row>
    <row r="19">
      <c r="A19" s="3" t="inlineStr">
        <is>
          <t>2. Read results: Cat_UnitEcon / Espresso_UnitEcon (per order), Cat_Cohort / Espresso_Cohort (24-month cohort, top block = selected scenario).</t>
        </is>
      </c>
    </row>
    <row r="20">
      <c r="A20" s="3" t="inlineStr">
        <is>
          <t>3. Compare: Scenarios (P/B/O both cases), Sensitivity (base-case shocks + CPA x attach tables), Launch_Budget (cash), GoNoGo (gates).</t>
        </is>
      </c>
    </row>
    <row r="21">
      <c r="A21" s="3" t="inlineStr">
        <is>
          <t>4. Engine columns/blocks to the right of / below the selected views feed Scenarios and Sensitivity. Do not edit them.</t>
        </is>
      </c>
    </row>
    <row r="22">
      <c r="A22" s="3" t="inlineStr"/>
    </row>
    <row r="23">
      <c r="A23" s="4" t="inlineStr">
        <is>
          <t>COLOR LEGEND</t>
        </is>
      </c>
      <c r="B23" s="5" t="n"/>
      <c r="C23" s="5" t="n"/>
    </row>
    <row r="24">
      <c r="A24" s="3" t="inlineStr">
        <is>
          <t>Input (hardcoded, editable)</t>
        </is>
      </c>
      <c r="B24" s="9" t="n">
        <v>123.45</v>
      </c>
    </row>
    <row r="25">
      <c r="A25" s="3" t="inlineStr">
        <is>
          <t>Selector / key control</t>
        </is>
      </c>
      <c r="B25" s="10" t="n">
        <v>2</v>
      </c>
    </row>
    <row r="26">
      <c r="A26" s="3" t="inlineStr">
        <is>
          <t>Formula (calculation)</t>
        </is>
      </c>
      <c r="B26" s="11">
        <f>B24*2</f>
        <v>246.9</v>
      </c>
    </row>
    <row r="27">
      <c r="A27" s="3" t="inlineStr">
        <is>
          <t>Formula that links to another sheet</t>
        </is>
      </c>
      <c r="B27" s="12">
        <f>Inputs!$D$3</f>
        <v>2.0</v>
      </c>
    </row>
    <row r="28">
      <c r="A28" s="3" t="inlineStr">
        <is>
          <t>Key output</t>
        </is>
      </c>
      <c r="B28" s="13">
        <f>B24</f>
        <v>123.45</v>
      </c>
    </row>
    <row r="29">
      <c r="A29" s="3" t="inlineStr"/>
    </row>
    <row r="30">
      <c r="A30" s="4" t="inlineStr">
        <is>
          <t>SHEETS</t>
        </is>
      </c>
      <c r="B30" s="5" t="n"/>
      <c r="C30" s="5" t="n"/>
    </row>
    <row r="31">
      <c r="A31" s="3" t="inlineStr">
        <is>
          <t>Inputs - every driver with Pessimistic / Base / Optimistic, Selected (CHOOSE on D3), source tag and URL/note; USPS rate card; launch tiers; gate thresholds.</t>
        </is>
      </c>
    </row>
    <row r="32">
      <c r="A32" s="3" t="inlineStr">
        <is>
          <t>Cat_UnitEcon - (a) fountain first order at test stage, (b) at private label, (c) fountain + mat bundle, (d) filter renewal, (e) one-time filter order; contribution before ads, after CPA, break-even CPA.</t>
        </is>
      </c>
    </row>
    <row r="33">
      <c r="A33" s="3" t="inlineStr">
        <is>
          <t>Cat_Cohort - 100 customers, 3 segments (one-time, occasional repeat, subscribers), monthly contribution, cumulative after CAC, payback, 12/24-month contribution LTV.</t>
        </is>
      </c>
    </row>
    <row r="34">
      <c r="A34" s="3" t="inlineStr">
        <is>
          <t>Espresso_UnitEcon / Espresso_Cohort - same structure for the shadow case (monthly bean subscription).</t>
        </is>
      </c>
    </row>
    <row r="35">
      <c r="A35" s="3" t="inlineStr">
        <is>
          <t>Scenarios - P/B/O outputs for both cases. Sensitivity - CPA +30%, COGS +15%, shipping +20%, attach -50%, churn +50%, returns 2x; two-way tables.</t>
        </is>
      </c>
    </row>
    <row r="36">
      <c r="A36" s="3" t="inlineStr">
        <is>
          <t>Launch_Budget - lean / moderate / higher-capital one-time costs, monthly fixed costs, test ads, cash before first PL sale, runway, break-even volume.</t>
        </is>
      </c>
    </row>
    <row r="37">
      <c r="A37" s="3" t="inlineStr">
        <is>
          <t>GoNoGo - model-derived CPA ceilings, margin, payback, LTV:CAC, renewal economics, minimum attach and cash gates with GO / CONDITIONAL / NO-GO.</t>
        </is>
      </c>
    </row>
    <row r="38">
      <c r="A38" s="3" t="inlineStr">
        <is>
          <t>Repositioned - base-cost tests of repositioned offers (R1 $79 easy-clean system; R2 = R1 + 6-month 12-filter subscription; R3 = R2 + affiliate/organic CPA cut; R4 = R2 + non-China OEM; R6 = all cat levers; R5 = espresso kit at $99), each with its own cohort, launch cash and gate results.</t>
        </is>
      </c>
    </row>
    <row r="39">
      <c r="A39" s="3" t="inlineStr"/>
    </row>
    <row r="40">
      <c r="A40" s="4" t="inlineStr">
        <is>
          <t>CONVENTIONS</t>
        </is>
      </c>
      <c r="B40" s="5" t="n"/>
      <c r="C40" s="5" t="n"/>
    </row>
    <row r="41">
      <c r="A41" s="3" t="inlineStr">
        <is>
          <t>LTV = contribution profit (net revenue less all variable costs), never revenue. First-order profitability is reported separately everywhere.</t>
        </is>
      </c>
    </row>
    <row r="42">
      <c r="A42" s="3" t="inlineStr">
        <is>
          <t>Month 1 = acquisition month. Filter renewals bill every 3 months from month 4 (90-day pack). Bean renewals bill monthly from month 2.</t>
        </is>
      </c>
    </row>
    <row r="43">
      <c r="A43" s="3" t="inlineStr">
        <is>
          <t>Postage: USPS Ground Advantage commercial, Notice 123 (eff. Oct 4, 2026), Zone 5 base; pessimistic = average of Zones 5 and 8; optimistic = Zone 5 after the 8% surcharge expires.</t>
        </is>
      </c>
    </row>
    <row r="44">
      <c r="A44" s="3" t="inlineStr">
        <is>
          <t>Duty: fountain 37.5% (HTS 8413.70.2004, 301 List 1 25% + 12.5% forced-labor 301 since Jul 24, 2026). De minimis remains suspended.</t>
        </is>
      </c>
    </row>
    <row r="45">
      <c r="A45" s="3" t="inlineStr">
        <is>
          <t>Certification: amortized per unit inside contribution (P&amp;L view) AND paid up front in Launch_Budget one-time cash. Launch_Budget post-launch burn, runway and break-even add the amortization back (cash basis) so it is not counted twice (fix applied Oct 19, 2026).</t>
        </is>
      </c>
    </row>
    <row r="46">
      <c r="A46" s="3" t="inlineStr">
        <is>
          <t>Verification: LibreOffice/Excel were not available in the build environment, so every formula was recalculated with a Python formula engine (7,000+ formulas, zero errors) and cached values were written into the file. The workbook is flagged to fully recalculate when opened in Excel.</t>
        </is>
      </c>
    </row>
    <row r="47">
      <c r="A47" s="3" t="inlineStr"/>
    </row>
    <row r="48">
      <c r="A48" s="4" t="inlineStr">
        <is>
          <t>SOURCE CONFLICTS AND THE CONSERVATIVE CHOICE MADE</t>
        </is>
      </c>
      <c r="B48" s="5" t="n"/>
      <c r="C48" s="5" t="n"/>
    </row>
    <row r="49">
      <c r="A49" s="3" t="inlineStr">
        <is>
          <t>Fountain ocean freight: CP3 $1.00-$2.50 (unsourced) vs cost notes $2.20-$4.60 -&gt; base $3.50, pessimistic $5.00.</t>
        </is>
      </c>
    </row>
    <row r="50">
      <c r="A50" s="3" t="inlineStr">
        <is>
          <t>AutoDS 5% wallet fee: CP3 cites AutoDS help; cost notes call it unverified -&gt; base 5%.</t>
        </is>
      </c>
    </row>
    <row r="51">
      <c r="A51" s="3" t="inlineStr">
        <is>
          <t>Filter churn: acquisition notes ~5%/mo base vs CP2 planning case 6-10%/mo -&gt; base later-cycle churn set to ~6.0%/mo incl. involuntary.</t>
        </is>
      </c>
    </row>
    <row r="52">
      <c r="A52" s="3" t="inlineStr">
        <is>
          <t>Filter pack price: CP2 ~$19.99/quarter vs CP3 'under Petlibro ~$2.62/filter' -&gt; subscription price $15.29 (base).</t>
        </is>
      </c>
    </row>
    <row r="53">
      <c r="A53" s="3" t="inlineStr">
        <is>
          <t>Bean cost: Dripshipper $9.39+ free shipping vs Roastify $12.00 + $4.50 shipping vs ~$14 merchant anecdote -&gt; base Roastify.</t>
        </is>
      </c>
    </row>
    <row r="54">
      <c r="A54" s="3" t="inlineStr">
        <is>
          <t>Filter postage: Notice 123 commercial (flat &lt;=15.99 oz) vs unretrieved below-commercial ounce tiers -&gt; base uses commercial as ceiling.</t>
        </is>
      </c>
    </row>
    <row r="55">
      <c r="A55" s="3" t="inlineStr">
        <is>
          <t>51mm portafilter OEM: Everich $32-$35/set (100 MOQ) vs 54mm $8.47-$12 -&gt; base $12 (54mm proxy), pessimistic $33.50.</t>
        </is>
      </c>
    </row>
    <row r="56">
      <c r="A56" s="3" t="inlineStr">
        <is>
          <t>Espresso duty: CP3 24-36.5% + MFN vs cost notes List 3 25% + 12.5% + MFN -&gt; base 41.4%.</t>
        </is>
      </c>
    </row>
    <row r="57">
      <c r="A57" s="3" t="inlineStr">
        <is>
          <t>Test-stage duty at checkout unresolved (Case A 0% vs Case B 37.5%) -&gt; base 30% pass-through (cost notes planning value).</t>
        </is>
      </c>
    </row>
    <row r="58">
      <c r="A58" s="3" t="inlineStr">
        <is>
          <t>FY2027 MPF values (effective Oct 1, 2026) not found -&gt; FY2026 values used.</t>
        </is>
      </c>
    </row>
    <row r="59">
      <c r="A59" s="3" t="inlineStr"/>
    </row>
    <row r="60">
      <c r="A60" s="14" t="inlineStr">
        <is>
          <t>Inputs research: research_notes/Cat home financial model/cost_inputs.md and acquisition_retention.md; reports/Espresso and cat validation.md (CP3); reports/Category brand subscription deep dive.md (CP2). Client defaults: CP3 Section 9.</t>
        </is>
      </c>
    </row>
  </sheetData>
  <mergeCells count="1">
    <mergeCell ref="A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5"/>
  <sheetViews>
    <sheetView showGridLines="1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0" customWidth="1" min="9" max="9"/>
  </cols>
  <sheetData>
    <row r="1">
      <c r="A1" s="15" t="inlineStr">
        <is>
          <t>Inputs: every driver, Pessimistic / Base / Optimistic, with Selected column</t>
        </is>
      </c>
    </row>
    <row r="2">
      <c r="A2" s="2" t="inlineStr">
        <is>
          <t>Blue cells on light-yellow fill are inputs. Black cells are formulas. Rows tagged ASSUMPTION are the analyst's planning values, NOT market facts. As of Oct 19, 2026 (Checkpoint 4).</t>
        </is>
      </c>
    </row>
    <row r="3">
      <c r="B3" s="16" t="inlineStr">
        <is>
          <t>Scenario selector: 1 = Pessimistic, 2 = Base, 3 = Optimistic</t>
        </is>
      </c>
      <c r="D3" s="17" t="n">
        <v>2</v>
      </c>
      <c r="E3" s="16" t="str">
        <f>CHOOSE($D$3,"Pessimistic","Base","Optimistic")</f>
        <v>Base</v>
      </c>
    </row>
    <row r="4">
      <c r="B4" s="16" t="inlineStr">
        <is>
          <t>First-order / cohort stage: 1 = Test stage (AliExpress + CPA months 1-3); 2 = Private label (CPA months 4-12)</t>
        </is>
      </c>
      <c r="D4" s="17" t="n">
        <v>2</v>
      </c>
      <c r="E4" s="16" t="str">
        <f>CHOOSE($D$4,"Test stage (AliExpress dropship, CPA months 1-3)","Private label (OEM + 3PL, CPA months 4-12)")</f>
        <v>Private label (OEM + 3PL, CPA months 4-12)</v>
      </c>
    </row>
    <row r="5">
      <c r="B5" s="16" t="inlineStr">
        <is>
          <t>Launch budget tier: 1 = Lean, 2 = Moderate, 3 = Higher-capital</t>
        </is>
      </c>
      <c r="D5" s="17" t="n">
        <v>1</v>
      </c>
      <c r="E5" s="16" t="str">
        <f>CHOOSE($D$5,"Lean","Moderate","Higher-capital")</f>
        <v>Lean</v>
      </c>
    </row>
    <row r="7">
      <c r="A7" s="18" t="inlineStr">
        <is>
          <t>ID</t>
        </is>
      </c>
      <c r="B7" s="18" t="inlineStr">
        <is>
          <t>Driver</t>
        </is>
      </c>
      <c r="C7" s="18" t="inlineStr">
        <is>
          <t>Unit</t>
        </is>
      </c>
      <c r="D7" s="18" t="inlineStr">
        <is>
          <t>Pessimistic</t>
        </is>
      </c>
      <c r="E7" s="18" t="inlineStr">
        <is>
          <t>Base</t>
        </is>
      </c>
      <c r="F7" s="18" t="inlineStr">
        <is>
          <t>Optimistic</t>
        </is>
      </c>
      <c r="G7" s="18" t="inlineStr">
        <is>
          <t>Selected</t>
        </is>
      </c>
      <c r="H7" s="18" t="inlineStr">
        <is>
          <t>Source tag</t>
        </is>
      </c>
      <c r="I7" s="18" t="inlineStr">
        <is>
          <t>Source URL / note</t>
        </is>
      </c>
    </row>
    <row r="8">
      <c r="A8" s="5" t="n"/>
      <c r="B8" s="4" t="inlineStr">
        <is>
          <t>Model controls</t>
        </is>
      </c>
      <c r="C8" s="5" t="n"/>
      <c r="D8" s="5" t="n"/>
      <c r="E8" s="5" t="n"/>
      <c r="F8" s="5" t="n"/>
      <c r="G8" s="5" t="n"/>
      <c r="H8" s="5" t="n"/>
      <c r="I8" s="5" t="n"/>
    </row>
    <row r="9">
      <c r="A9" s="19" t="inlineStr">
        <is>
          <t>cohort_size</t>
        </is>
      </c>
      <c r="B9" s="3" t="inlineStr">
        <is>
          <t>Cohort size (customers acquired)</t>
        </is>
      </c>
      <c r="C9" s="3" t="inlineStr">
        <is>
          <t>customers</t>
        </is>
      </c>
      <c r="D9" s="20" t="n">
        <v>100</v>
      </c>
      <c r="E9" s="20" t="n">
        <v>100</v>
      </c>
      <c r="F9" s="20" t="n">
        <v>100</v>
      </c>
      <c r="G9" s="21">
        <f>CHOOSE($D$3,D9,E9,F9)</f>
        <v>100.0</v>
      </c>
      <c r="H9" s="16" t="inlineStr">
        <is>
          <t>ASSUMPTION</t>
        </is>
      </c>
      <c r="I9" s="3" t="inlineStr">
        <is>
          <t>Structural: 100-customer cohort per Checkpoint 4 spec.</t>
        </is>
      </c>
    </row>
    <row r="10">
      <c r="A10" s="5" t="n"/>
      <c r="B10" s="4" t="inlineStr">
        <is>
          <t>A. Retail prices (customer-facing, free shipping unless stated)</t>
        </is>
      </c>
      <c r="C10" s="5" t="n"/>
      <c r="D10" s="5" t="n"/>
      <c r="E10" s="5" t="n"/>
      <c r="F10" s="5" t="n"/>
      <c r="G10" s="5" t="n"/>
      <c r="H10" s="5" t="n"/>
      <c r="I10" s="5" t="n"/>
    </row>
    <row r="11">
      <c r="A11" s="19" t="inlineStr">
        <is>
          <t>p_fountain</t>
        </is>
      </c>
      <c r="B11" s="3" t="inlineStr">
        <is>
          <t>Cat fountain (corded/USB stainless) retail price</t>
        </is>
      </c>
      <c r="C11" s="3" t="inlineStr">
        <is>
          <t>$/unit</t>
        </is>
      </c>
      <c r="D11" s="22" t="n">
        <v>44.99</v>
      </c>
      <c r="E11" s="22" t="n">
        <v>49.99</v>
      </c>
      <c r="F11" s="22" t="n">
        <v>59.99</v>
      </c>
      <c r="G11" s="23">
        <f>CHOOSE($D$3,D11,E11,F11)</f>
        <v>49.99</v>
      </c>
      <c r="H11" s="16" t="inlineStr">
        <is>
          <t>ASSUMPTION</t>
        </is>
      </c>
      <c r="I11" s="3" t="inlineStr">
        <is>
          <t>Feature tier $35-$65: Petlibro Dockstream $60.89-$62.99, Capsule $36.99 (Cats.com, Sep 18 2026, https://cats.com/best-cat-water-fountain). CP3 landed-cost table used $49.99. Amazon generics $18.99-$19.99 (CP3 Sec.2).</t>
        </is>
      </c>
    </row>
    <row r="12">
      <c r="A12" s="19" t="inlineStr">
        <is>
          <t>p_filter_onetime</t>
        </is>
      </c>
      <c r="B12" s="3" t="inlineStr">
        <is>
          <t>Filter 90-day pack (6 filters), one-time price</t>
        </is>
      </c>
      <c r="C12" s="3" t="inlineStr">
        <is>
          <t>$/pack</t>
        </is>
      </c>
      <c r="D12" s="22" t="n">
        <v>14.99</v>
      </c>
      <c r="E12" s="22" t="n">
        <v>16.99</v>
      </c>
      <c r="F12" s="22" t="n">
        <v>17.49</v>
      </c>
      <c r="G12" s="23">
        <f>CHOOSE($D$3,D12,E12,F12)</f>
        <v>16.99</v>
      </c>
      <c r="H12" s="16" t="inlineStr">
        <is>
          <t>ASSUMPTION</t>
        </is>
      </c>
      <c r="I12" s="3" t="inlineStr">
        <is>
          <t>CONFLICT: CP2 suggested ~$19.99/quarter; CP3 says price under Petlibro ~$2.62/filter subscribed = $15.72 per 6 (https://petlibro.com/products/dockstream-2-smart-fountain-replacement-filter). Conservative: subscription price kept under the CP3 anchor.</t>
        </is>
      </c>
    </row>
    <row r="13">
      <c r="A13" s="19" t="inlineStr">
        <is>
          <t>sub_disc</t>
        </is>
      </c>
      <c r="B13" s="3" t="inlineStr">
        <is>
          <t>Subscription discount on filter pack</t>
        </is>
      </c>
      <c r="C13" s="3" t="inlineStr">
        <is>
          <t>%</t>
        </is>
      </c>
      <c r="D13" s="24" t="n">
        <v>0.15</v>
      </c>
      <c r="E13" s="24" t="n">
        <v>0.1</v>
      </c>
      <c r="F13" s="24" t="n">
        <v>0.1</v>
      </c>
      <c r="G13" s="25">
        <f>CHOOSE($D$3,D13,E13,F13)</f>
        <v>0.1</v>
      </c>
      <c r="H13" s="16" t="inlineStr">
        <is>
          <t>ASSUMPTION</t>
        </is>
      </c>
      <c r="I13" s="3" t="inlineStr">
        <is>
          <t>Petlibro 30% first order then 10%; Chewy 35% first Autoship (CP2/CP3).</t>
        </is>
      </c>
    </row>
    <row r="14">
      <c r="A14" s="19" t="inlineStr">
        <is>
          <t>p_filter_sub</t>
        </is>
      </c>
      <c r="B14" s="3" t="inlineStr">
        <is>
          <t>Filter pack subscription price (formula)</t>
        </is>
      </c>
      <c r="C14" s="3" t="inlineStr">
        <is>
          <t>$/pack</t>
        </is>
      </c>
      <c r="D14" s="26">
        <f>D12*(1-D13)</f>
        <v>12.7415</v>
      </c>
      <c r="E14" s="26">
        <f>E12*(1-E13)</f>
        <v>15.290999999999999</v>
      </c>
      <c r="F14" s="26">
        <f>F12*(1-F13)</f>
        <v>15.741</v>
      </c>
      <c r="G14" s="23">
        <f>CHOOSE($D$3,D14,E14,F14)</f>
        <v>15.290999999999999</v>
      </c>
      <c r="H14" s="3" t="inlineStr">
        <is>
          <t>ESTIMATE</t>
        </is>
      </c>
      <c r="I14" s="3" t="inlineStr">
        <is>
          <t>One-time price x (1 - discount). Base $15.29 = $2.55/filter, under the $2.62 Petlibro anchor.</t>
        </is>
      </c>
    </row>
    <row r="15">
      <c r="A15" s="19" t="inlineStr">
        <is>
          <t>filters_per_pack</t>
        </is>
      </c>
      <c r="B15" s="3" t="inlineStr">
        <is>
          <t>Filters per 90-day pack</t>
        </is>
      </c>
      <c r="C15" s="3" t="inlineStr">
        <is>
          <t>filters</t>
        </is>
      </c>
      <c r="D15" s="20" t="n">
        <v>6</v>
      </c>
      <c r="E15" s="20" t="n">
        <v>6</v>
      </c>
      <c r="F15" s="20" t="n">
        <v>6</v>
      </c>
      <c r="G15" s="21">
        <f>CHOOSE($D$3,D15,E15,F15)</f>
        <v>6.0</v>
      </c>
      <c r="H15" s="16" t="inlineStr">
        <is>
          <t>ASSUMPTION</t>
        </is>
      </c>
      <c r="I15" s="3" t="inlineStr">
        <is>
          <t>Client-approved default: 90-day 6-pack cadence (CP3 Sec.9 #5).</t>
        </is>
      </c>
    </row>
    <row r="16">
      <c r="A16" s="19" t="inlineStr">
        <is>
          <t>ship_charge_filter</t>
        </is>
      </c>
      <c r="B16" s="3" t="inlineStr">
        <is>
          <t>Shipping charged on one-time (non-subscription) filter orders</t>
        </is>
      </c>
      <c r="C16" s="3" t="inlineStr">
        <is>
          <t>$/order</t>
        </is>
      </c>
      <c r="D16" s="22" t="n">
        <v>0</v>
      </c>
      <c r="E16" s="22" t="n">
        <v>0</v>
      </c>
      <c r="F16" s="22" t="n">
        <v>3.99</v>
      </c>
      <c r="G16" s="23">
        <f>CHOOSE($D$3,D16,E16,F16)</f>
        <v>0.0</v>
      </c>
      <c r="H16" s="16" t="inlineStr">
        <is>
          <t>ASSUMPTION</t>
        </is>
      </c>
      <c r="I16" s="3" t="inlineStr">
        <is>
          <t>Base keeps free shipping to compete with Prime generic filters (32 for $16.99, CP3 Sec.5).</t>
        </is>
      </c>
    </row>
    <row r="17">
      <c r="A17" s="19" t="inlineStr">
        <is>
          <t>p_mat</t>
        </is>
      </c>
      <c r="B17" s="3" t="inlineStr">
        <is>
          <t>Litter mat add-on price</t>
        </is>
      </c>
      <c r="C17" s="3" t="inlineStr">
        <is>
          <t>$/unit</t>
        </is>
      </c>
      <c r="D17" s="22" t="n">
        <v>16.99</v>
      </c>
      <c r="E17" s="22" t="n">
        <v>19.99</v>
      </c>
      <c r="F17" s="22" t="n">
        <v>22.99</v>
      </c>
      <c r="G17" s="23">
        <f>CHOOSE($D$3,D17,E17,F17)</f>
        <v>19.99</v>
      </c>
      <c r="H17" s="16" t="inlineStr">
        <is>
          <t>ASSUMPTION</t>
        </is>
      </c>
      <c r="I17" s="3" t="inlineStr">
        <is>
          <t>Amazon Cat Litter Mats best sellers $8-$23 (CP3 Sec.2, https://www.amazon.com/Best-Sellers-Pet-Supplies-Cat-Litter-Mats/zgbs/pet-supplies/17295526011).</t>
        </is>
      </c>
    </row>
    <row r="18">
      <c r="A18" s="19" t="inlineStr">
        <is>
          <t>p_kit</t>
        </is>
      </c>
      <c r="B18" s="3" t="inlineStr">
        <is>
          <t>Espresso Dedica 51mm upgrade kit price (portafilter + tamper + WDT + puck screen)</t>
        </is>
      </c>
      <c r="C18" s="3" t="inlineStr">
        <is>
          <t>$/kit</t>
        </is>
      </c>
      <c r="D18" s="22" t="n">
        <v>74.98999999999999</v>
      </c>
      <c r="E18" s="22" t="n">
        <v>84.98999999999999</v>
      </c>
      <c r="F18" s="22" t="n">
        <v>99.98999999999999</v>
      </c>
      <c r="G18" s="23">
        <f>CHOOSE($D$3,D18,E18,F18)</f>
        <v>84.99</v>
      </c>
      <c r="H18" s="16" t="inlineStr">
        <is>
          <t>ASSUMPTION</t>
        </is>
      </c>
      <c r="I18" s="3" t="inlineStr">
        <is>
          <t>Espresso first-order AOV assumption $70/$85/$105 (acquisition_retention.md Q2). Dedica Essential stack $90-$120 (https://completehomebarista.com/guides/best-upgrades-delonghi-dedica-ec685). Amazon 7-pc Breville kit $42.98-$45.99 anchor.</t>
        </is>
      </c>
    </row>
    <row r="19">
      <c r="A19" s="19" t="inlineStr">
        <is>
          <t>kit_pieces</t>
        </is>
      </c>
      <c r="B19" s="3" t="inlineStr">
        <is>
          <t>Pieces (picks) per espresso kit</t>
        </is>
      </c>
      <c r="C19" s="3" t="inlineStr">
        <is>
          <t>items</t>
        </is>
      </c>
      <c r="D19" s="20" t="n">
        <v>4</v>
      </c>
      <c r="E19" s="20" t="n">
        <v>4</v>
      </c>
      <c r="F19" s="20" t="n">
        <v>4</v>
      </c>
      <c r="G19" s="21">
        <f>CHOOSE($D$3,D19,E19,F19)</f>
        <v>4.0</v>
      </c>
      <c r="H19" s="16" t="inlineStr">
        <is>
          <t>ASSUMPTION</t>
        </is>
      </c>
      <c r="I19" s="3" t="inlineStr">
        <is>
          <t>Kit composition used in the model.</t>
        </is>
      </c>
    </row>
    <row r="20">
      <c r="A20" s="19" t="inlineStr">
        <is>
          <t>p_beans_onetime</t>
        </is>
      </c>
      <c r="B20" s="3" t="inlineStr">
        <is>
          <t>Beans shipment (2 x 12oz), one-time price incl. shipping</t>
        </is>
      </c>
      <c r="C20" s="3" t="inlineStr">
        <is>
          <t>$/shipment</t>
        </is>
      </c>
      <c r="D20" s="22" t="n">
        <v>37.99</v>
      </c>
      <c r="E20" s="22" t="n">
        <v>39.99</v>
      </c>
      <c r="F20" s="22" t="n">
        <v>43.99</v>
      </c>
      <c r="G20" s="23">
        <f>CHOOSE($D$3,D20,E20,F20)</f>
        <v>39.99</v>
      </c>
      <c r="H20" s="16" t="inlineStr">
        <is>
          <t>ASSUMPTION</t>
        </is>
      </c>
      <c r="I20" s="3" t="inlineStr">
        <is>
          <t>CP2 bean subscription anchor $34-$40 incl. shipping (Trade, Bean Box, Atlas).</t>
        </is>
      </c>
    </row>
    <row r="21">
      <c r="A21" s="19" t="inlineStr">
        <is>
          <t>bean_sub_disc</t>
        </is>
      </c>
      <c r="B21" s="3" t="inlineStr">
        <is>
          <t>Bean subscription discount</t>
        </is>
      </c>
      <c r="C21" s="3" t="inlineStr">
        <is>
          <t>%</t>
        </is>
      </c>
      <c r="D21" s="24" t="n">
        <v>0.1</v>
      </c>
      <c r="E21" s="24" t="n">
        <v>0.1</v>
      </c>
      <c r="F21" s="24" t="n">
        <v>0.1</v>
      </c>
      <c r="G21" s="25">
        <f>CHOOSE($D$3,D21,E21,F21)</f>
        <v>0.1</v>
      </c>
      <c r="H21" s="16" t="inlineStr">
        <is>
          <t>ASSUMPTION</t>
        </is>
      </c>
      <c r="I21" s="3" t="inlineStr">
        <is>
          <t>Mirrors filter discount.</t>
        </is>
      </c>
    </row>
    <row r="22">
      <c r="A22" s="19" t="inlineStr">
        <is>
          <t>p_beans_sub</t>
        </is>
      </c>
      <c r="B22" s="3" t="inlineStr">
        <is>
          <t>Beans shipment subscription price (formula)</t>
        </is>
      </c>
      <c r="C22" s="3" t="inlineStr">
        <is>
          <t>$/shipment</t>
        </is>
      </c>
      <c r="D22" s="26">
        <f>D20*(1-D21)</f>
        <v>34.191</v>
      </c>
      <c r="E22" s="26">
        <f>E20*(1-E21)</f>
        <v>35.991</v>
      </c>
      <c r="F22" s="26">
        <f>F20*(1-F21)</f>
        <v>39.591</v>
      </c>
      <c r="G22" s="23">
        <f>CHOOSE($D$3,D22,E22,F22)</f>
        <v>35.991</v>
      </c>
      <c r="H22" s="3" t="inlineStr">
        <is>
          <t>ESTIMATE</t>
        </is>
      </c>
      <c r="I22" s="3" t="inlineStr">
        <is>
          <t>One-time x (1 - discount).</t>
        </is>
      </c>
    </row>
    <row r="23">
      <c r="A23" s="19" t="inlineStr">
        <is>
          <t>bags_per_ship</t>
        </is>
      </c>
      <c r="B23" s="3" t="inlineStr">
        <is>
          <t>12oz bags per bean shipment</t>
        </is>
      </c>
      <c r="C23" s="3" t="inlineStr">
        <is>
          <t>bags</t>
        </is>
      </c>
      <c r="D23" s="20" t="n">
        <v>2</v>
      </c>
      <c r="E23" s="20" t="n">
        <v>2</v>
      </c>
      <c r="F23" s="20" t="n">
        <v>2</v>
      </c>
      <c r="G23" s="21">
        <f>CHOOSE($D$3,D23,E23,F23)</f>
        <v>2.0</v>
      </c>
      <c r="H23" s="16" t="inlineStr">
        <is>
          <t>ASSUMPTION</t>
        </is>
      </c>
      <c r="I23" s="3" t="inlineStr">
        <is>
          <t>CP2 offer: 2 x 12oz every 2-4 weeks; modeled monthly.</t>
        </is>
      </c>
    </row>
    <row r="24">
      <c r="A24" s="5" t="n"/>
      <c r="B24" s="4" t="inlineStr">
        <is>
          <t>B. COGS - test stage (AliExpress via AutoDS dropship; supplier ships free)</t>
        </is>
      </c>
      <c r="C24" s="5" t="n"/>
      <c r="D24" s="5" t="n"/>
      <c r="E24" s="5" t="n"/>
      <c r="F24" s="5" t="n"/>
      <c r="G24" s="5" t="n"/>
      <c r="H24" s="5" t="n"/>
      <c r="I24" s="5" t="n"/>
    </row>
    <row r="25">
      <c r="A25" s="19" t="inlineStr">
        <is>
          <t>ali_fountain</t>
        </is>
      </c>
      <c r="B25" s="3" t="inlineStr">
        <is>
          <t>AliExpress corded stainless fountain unit price</t>
        </is>
      </c>
      <c r="C25" s="3" t="inlineStr">
        <is>
          <t>$/unit</t>
        </is>
      </c>
      <c r="D25" s="22" t="n">
        <v>34.08</v>
      </c>
      <c r="E25" s="22" t="n">
        <v>28.39</v>
      </c>
      <c r="F25" s="22" t="n">
        <v>21.79</v>
      </c>
      <c r="G25" s="23">
        <f>CHOOSE($D$3,D25,E25,F25)</f>
        <v>28.39</v>
      </c>
      <c r="H25" s="3" t="inlineStr">
        <is>
          <t>VENDOR</t>
        </is>
      </c>
      <c r="I25" s="3" t="inlineStr">
        <is>
          <t>CP3 Sec.3.2: ROJECO 2L 'US Adapter New' $28.39 (https://www.aliexpress.us/item/3256808061782685.html); search band $21.79-$42.81; listed $26.91-$34.08. Welcome prices may vanish.</t>
        </is>
      </c>
    </row>
    <row r="26">
      <c r="A26" s="19" t="inlineStr">
        <is>
          <t>test_duty</t>
        </is>
      </c>
      <c r="B26" s="3" t="inlineStr">
        <is>
          <t>Duty / price pass-through on China parcels (test stage)</t>
        </is>
      </c>
      <c r="C26" s="3" t="inlineStr">
        <is>
          <t>% of item</t>
        </is>
      </c>
      <c r="D26" s="24" t="n">
        <v>0.375</v>
      </c>
      <c r="E26" s="24" t="n">
        <v>0.3</v>
      </c>
      <c r="F26" s="24" t="n">
        <v>0</v>
      </c>
      <c r="G26" s="25">
        <f>CHOOSE($D$3,D26,E26,F26)</f>
        <v>0.3</v>
      </c>
      <c r="H26" s="3" t="inlineStr">
        <is>
          <t>ESTIMATE</t>
        </is>
      </c>
      <c r="I26" s="3" t="inlineStr">
        <is>
          <t>Unresolved whether AliExpress collects duty (CP3 Case A 0% vs Case B). cost_inputs.md Q4 planning: 25-40%, ~30%. Pess = full 37.5% stack.</t>
        </is>
      </c>
    </row>
    <row r="27">
      <c r="A27" s="19" t="inlineStr">
        <is>
          <t>autods_fee</t>
        </is>
      </c>
      <c r="B27" s="3" t="inlineStr">
        <is>
          <t>AutoDS wallet / card fee on supplier cost</t>
        </is>
      </c>
      <c r="C27" s="3" t="inlineStr">
        <is>
          <t>% of item</t>
        </is>
      </c>
      <c r="D27" s="24" t="n">
        <v>0.05</v>
      </c>
      <c r="E27" s="24" t="n">
        <v>0.05</v>
      </c>
      <c r="F27" s="24" t="n">
        <v>0</v>
      </c>
      <c r="G27" s="25">
        <f>CHOOSE($D$3,D27,E27,F27)</f>
        <v>0.05</v>
      </c>
      <c r="H27" s="3" t="inlineStr">
        <is>
          <t>SECONDHAND</t>
        </is>
      </c>
      <c r="I27" s="3" t="inlineStr">
        <is>
          <t>CONFLICT: CP3 cites AutoDS help (5% card, https://help.autods.com/en/articles/12700443-automate-your-orders-with-fulfilled-by-autods-fba); cost_inputs.md says not verified (base 0%). Conservative base = 5%.</t>
        </is>
      </c>
    </row>
    <row r="28">
      <c r="A28" s="19" t="inlineStr">
        <is>
          <t>test_lost</t>
        </is>
      </c>
      <c r="B28" s="3" t="inlineStr">
        <is>
          <t>Duty-refused / lost / re-ship parcels (test stage)</t>
        </is>
      </c>
      <c r="C28" s="3" t="inlineStr">
        <is>
          <t>% of orders</t>
        </is>
      </c>
      <c r="D28" s="24" t="n">
        <v>0.07000000000000001</v>
      </c>
      <c r="E28" s="24" t="n">
        <v>0.05</v>
      </c>
      <c r="F28" s="24" t="n">
        <v>0.02</v>
      </c>
      <c r="G28" s="25">
        <f>CHOOSE($D$3,D28,E28,F28)</f>
        <v>0.05</v>
      </c>
      <c r="H28" s="16" t="inlineStr">
        <is>
          <t>ASSUMPTION</t>
        </is>
      </c>
      <c r="I28" s="3" t="inlineStr">
        <is>
          <t>cost_inputs.md Q4: budget ~5% risk of duty-due refusals or re-ships; returns to China uneconomic.</t>
        </is>
      </c>
    </row>
    <row r="29">
      <c r="A29" s="19" t="inlineStr">
        <is>
          <t>ali_pf</t>
        </is>
      </c>
      <c r="B29" s="3" t="inlineStr">
        <is>
          <t>AliExpress 51mm Dedica bottomless portafilter</t>
        </is>
      </c>
      <c r="C29" s="3" t="inlineStr">
        <is>
          <t>$/unit</t>
        </is>
      </c>
      <c r="D29" s="22" t="n">
        <v>25.66</v>
      </c>
      <c r="E29" s="22" t="n">
        <v>17.53</v>
      </c>
      <c r="F29" s="22" t="n">
        <v>17.01</v>
      </c>
      <c r="G29" s="23">
        <f>CHOOSE($D$3,D29,E29,F29)</f>
        <v>17.53</v>
      </c>
      <c r="H29" s="3" t="inlineStr">
        <is>
          <t>VENDOR</t>
        </is>
      </c>
      <c r="I29" s="3" t="inlineStr">
        <is>
          <t>Listing 3256809164814557: $17.01-$25.66 (https://www.aliexpress.us/item/3256809164814557.html).</t>
        </is>
      </c>
    </row>
    <row r="30">
      <c r="A30" s="19" t="inlineStr">
        <is>
          <t>ali_tamper</t>
        </is>
      </c>
      <c r="B30" s="3" t="inlineStr">
        <is>
          <t>AliExpress 51mm tamper</t>
        </is>
      </c>
      <c r="C30" s="3" t="inlineStr">
        <is>
          <t>$/unit</t>
        </is>
      </c>
      <c r="D30" s="22" t="n">
        <v>14.09</v>
      </c>
      <c r="E30" s="22" t="n">
        <v>13.28</v>
      </c>
      <c r="F30" s="22" t="n">
        <v>12.37</v>
      </c>
      <c r="G30" s="23">
        <f>CHOOSE($D$3,D30,E30,F30)</f>
        <v>13.28</v>
      </c>
      <c r="H30" s="3" t="inlineStr">
        <is>
          <t>VENDOR</t>
        </is>
      </c>
      <c r="I30" s="3" t="inlineStr">
        <is>
          <t>PERFFEE 51mm $13.28-$14.09 (https://www.aliexpress.us/item/3256806759653263.html); same 51mm listing $12.37-$13.99.</t>
        </is>
      </c>
    </row>
    <row r="31">
      <c r="A31" s="19" t="inlineStr">
        <is>
          <t>ali_wdt</t>
        </is>
      </c>
      <c r="B31" s="3" t="inlineStr">
        <is>
          <t>AliExpress WDT tool</t>
        </is>
      </c>
      <c r="C31" s="3" t="inlineStr">
        <is>
          <t>$/unit</t>
        </is>
      </c>
      <c r="D31" s="22" t="n">
        <v>13.09</v>
      </c>
      <c r="E31" s="22" t="n">
        <v>6.33</v>
      </c>
      <c r="F31" s="22" t="n">
        <v>1.14</v>
      </c>
      <c r="G31" s="23">
        <f>CHOOSE($D$3,D31,E31,F31)</f>
        <v>6.33</v>
      </c>
      <c r="H31" s="3" t="inlineStr">
        <is>
          <t>VENDOR</t>
        </is>
      </c>
      <c r="I31" s="3" t="inlineStr">
        <is>
          <t>$13.09 clicked SKU; $6.33 low of search band; $1.14 Bundle Deals welcome price (CP3 Sec.3.1).</t>
        </is>
      </c>
    </row>
    <row r="32">
      <c r="A32" s="19" t="inlineStr">
        <is>
          <t>ali_screen</t>
        </is>
      </c>
      <c r="B32" s="3" t="inlineStr">
        <is>
          <t>AliExpress 51mm puck screen</t>
        </is>
      </c>
      <c r="C32" s="3" t="inlineStr">
        <is>
          <t>$/unit</t>
        </is>
      </c>
      <c r="D32" s="22" t="n">
        <v>11.14</v>
      </c>
      <c r="E32" s="22" t="n">
        <v>4.98</v>
      </c>
      <c r="F32" s="22" t="n">
        <v>1.29</v>
      </c>
      <c r="G32" s="23">
        <f>CHOOSE($D$3,D32,E32,F32)</f>
        <v>4.98</v>
      </c>
      <c r="H32" s="3" t="inlineStr">
        <is>
          <t>VENDOR</t>
        </is>
      </c>
      <c r="I32" s="3" t="inlineStr">
        <is>
          <t>51mm magnet $11.14; 2-pc $9.95 (=$4.98/pc); 51mm 1-pc welcome $1.29 (https://www.aliexpress.us/item/3256809211885821.html).</t>
        </is>
      </c>
    </row>
    <row r="33">
      <c r="A33" s="19" t="inlineStr">
        <is>
          <t>ali_kit</t>
        </is>
      </c>
      <c r="B33" s="3" t="inlineStr">
        <is>
          <t>AliExpress Dedica kit component cost (formula)</t>
        </is>
      </c>
      <c r="C33" s="3" t="inlineStr">
        <is>
          <t>$/kit</t>
        </is>
      </c>
      <c r="D33" s="26">
        <f>D29+D30+D31+D32</f>
        <v>63.980000000000004</v>
      </c>
      <c r="E33" s="26">
        <f>E29+E30+E31+E32</f>
        <v>42.120000000000005</v>
      </c>
      <c r="F33" s="26">
        <f>F29+F30+F31+F32</f>
        <v>31.810000000000002</v>
      </c>
      <c r="G33" s="23">
        <f>CHOOSE($D$3,D33,E33,F33)</f>
        <v>42.120000000000005</v>
      </c>
      <c r="H33" s="3" t="inlineStr">
        <is>
          <t>ESTIMATE</t>
        </is>
      </c>
      <c r="I33" s="3" t="inlineStr">
        <is>
          <t>Sum of components; arrives as several parcels (CP3).</t>
        </is>
      </c>
    </row>
    <row r="34">
      <c r="A34" s="19" t="inlineStr">
        <is>
          <t>test_duty_esp</t>
        </is>
      </c>
      <c r="B34" s="3" t="inlineStr">
        <is>
          <t>Duty / pass-through on espresso parcels (test stage)</t>
        </is>
      </c>
      <c r="C34" s="3" t="inlineStr">
        <is>
          <t>% of item</t>
        </is>
      </c>
      <c r="D34" s="24" t="n">
        <v>0.414</v>
      </c>
      <c r="E34" s="24" t="n">
        <v>0.3</v>
      </c>
      <c r="F34" s="24" t="n">
        <v>0</v>
      </c>
      <c r="G34" s="25">
        <f>CHOOSE($D$3,D34,E34,F34)</f>
        <v>0.3</v>
      </c>
      <c r="H34" s="3" t="inlineStr">
        <is>
          <t>ESTIMATE</t>
        </is>
      </c>
      <c r="I34" s="3" t="inlineStr">
        <is>
          <t>Pess = List 3 25% + 12.5% forced-labor 301 + ~3.9% MFN; base 30% planning pass-through; opt Case A.</t>
        </is>
      </c>
    </row>
    <row r="35">
      <c r="A35" s="5" t="n"/>
      <c r="B35" s="4" t="inlineStr">
        <is>
          <t>C. COGS - private-label stage, cat (OEM, sea LCL, 3PL)</t>
        </is>
      </c>
      <c r="C35" s="5" t="n"/>
      <c r="D35" s="5" t="n"/>
      <c r="E35" s="5" t="n"/>
      <c r="F35" s="5" t="n"/>
      <c r="G35" s="5" t="n"/>
      <c r="H35" s="5" t="n"/>
      <c r="I35" s="5" t="n"/>
    </row>
    <row r="36">
      <c r="A36" s="19" t="inlineStr">
        <is>
          <t>oem_fountain</t>
        </is>
      </c>
      <c r="B36" s="3" t="inlineStr">
        <is>
          <t>OEM corded stainless fountain FOB (500 MOQ)</t>
        </is>
      </c>
      <c r="C36" s="3" t="inlineStr">
        <is>
          <t>$/unit</t>
        </is>
      </c>
      <c r="D36" s="22" t="n">
        <v>10.83</v>
      </c>
      <c r="E36" s="22" t="n">
        <v>9.77</v>
      </c>
      <c r="F36" s="22" t="n">
        <v>6.66</v>
      </c>
      <c r="G36" s="23">
        <f>CHOOSE($D$3,D36,E36,F36)</f>
        <v>9.77</v>
      </c>
      <c r="H36" s="3" t="inlineStr">
        <is>
          <t>VENDOR</t>
        </is>
      </c>
      <c r="I36" s="3" t="inlineStr">
        <is>
          <t>Petwant 2L $6.66-$7.33, 2.7L $9.77-$10.52 at 500 MOQ (https://www.alibaba.com/product-detail/Petwant-OEM-ODM-2-7L-Stainless_1601927624978.html); CP2 wholesale $10.00-$10.83. Search-card data; fresh quotes needed. Non-China quotes requested in parallel (client default).</t>
        </is>
      </c>
    </row>
    <row r="37">
      <c r="A37" s="19" t="inlineStr">
        <is>
          <t>adapter_premium</t>
        </is>
      </c>
      <c r="B37" s="3" t="inlineStr">
        <is>
          <t>UL 1310 / ETL-listed adapter premium</t>
        </is>
      </c>
      <c r="C37" s="3" t="inlineStr">
        <is>
          <t>$/unit</t>
        </is>
      </c>
      <c r="D37" s="22" t="n">
        <v>3</v>
      </c>
      <c r="E37" s="22" t="n">
        <v>2</v>
      </c>
      <c r="F37" s="22" t="n">
        <v>1.5</v>
      </c>
      <c r="G37" s="23">
        <f>CHOOSE($D$3,D37,E37,F37)</f>
        <v>2.0</v>
      </c>
      <c r="H37" s="16" t="inlineStr">
        <is>
          <t>ASSUMPTION</t>
        </is>
      </c>
      <c r="I37" s="3" t="inlineStr">
        <is>
          <t>cost_inputs.md Q5: +$1.50-$3.00 vs unlisted; only retail listed-adapter prices found ($6.55-$10.98).</t>
        </is>
      </c>
    </row>
    <row r="38">
      <c r="A38" s="19" t="inlineStr">
        <is>
          <t>fountain_freight</t>
        </is>
      </c>
      <c r="B38" s="3" t="inlineStr">
        <is>
          <t>Ocean LCL freight + destination charges per fountain</t>
        </is>
      </c>
      <c r="C38" s="3" t="inlineStr">
        <is>
          <t>$/unit</t>
        </is>
      </c>
      <c r="D38" s="22" t="n">
        <v>5</v>
      </c>
      <c r="E38" s="22" t="n">
        <v>3.5</v>
      </c>
      <c r="F38" s="22" t="n">
        <v>2.2</v>
      </c>
      <c r="G38" s="23">
        <f>CHOOSE($D$3,D38,E38,F38)</f>
        <v>3.5</v>
      </c>
      <c r="H38" s="3" t="inlineStr">
        <is>
          <t>ESTIMATE</t>
        </is>
      </c>
      <c r="I38" s="3" t="inlineStr">
        <is>
          <t>CONFLICT: CP3 $1.00-$2.50 (unsourced) vs cost_inputs.md Q3 $2.20-$4.60, base $3.50, $5.00 at 2026 peak. Conservative base $3.50.</t>
        </is>
      </c>
    </row>
    <row r="39">
      <c r="A39" s="19" t="inlineStr">
        <is>
          <t>fountain_duty</t>
        </is>
      </c>
      <c r="B39" s="3" t="inlineStr">
        <is>
          <t>Fountain duty stack (HTS 8413.70.2004: MFN 0% + 301 List 1 25% + 301 forced-labor 12.5%)</t>
        </is>
      </c>
      <c r="C39" s="3" t="inlineStr">
        <is>
          <t>% of FOB</t>
        </is>
      </c>
      <c r="D39" s="24" t="n">
        <v>0.375</v>
      </c>
      <c r="E39" s="24" t="n">
        <v>0.375</v>
      </c>
      <c r="F39" s="24" t="n">
        <v>0.375</v>
      </c>
      <c r="G39" s="25">
        <f>CHOOSE($D$3,D39,E39,F39)</f>
        <v>0.375</v>
      </c>
      <c r="H39" s="3" t="inlineStr">
        <is>
          <t>FILING</t>
        </is>
      </c>
      <c r="I39" s="3" t="inlineStr">
        <is>
          <t>CBP rulings N303286/N303288 (https://www.tarifflens.ai/rulings/N303286); 12.5% from Jul 24 2026 (https://www.chrobinson.com/en-us/resources/blog/section-301-forced-labor-tariffs/). Section 232 risk unverified (broker).</t>
        </is>
      </c>
    </row>
    <row r="40">
      <c r="A40" s="19" t="inlineStr">
        <is>
          <t>moq_fountain</t>
        </is>
      </c>
      <c r="B40" s="3" t="inlineStr">
        <is>
          <t>Units per import entry (fountain MOQ)</t>
        </is>
      </c>
      <c r="C40" s="3" t="inlineStr">
        <is>
          <t>units</t>
        </is>
      </c>
      <c r="D40" s="20" t="n">
        <v>500</v>
      </c>
      <c r="E40" s="20" t="n">
        <v>500</v>
      </c>
      <c r="F40" s="20" t="n">
        <v>1000</v>
      </c>
      <c r="G40" s="21">
        <f>CHOOSE($D$3,D40,E40,F40)</f>
        <v>500.0</v>
      </c>
      <c r="H40" s="16" t="inlineStr">
        <is>
          <t>ASSUMPTION</t>
        </is>
      </c>
      <c r="I40" s="3" t="inlineStr">
        <is>
          <t>Client default: commit 500-1,000 MOQ only after creative win + passed samples (CP3 Sec.9 #3).</t>
        </is>
      </c>
    </row>
    <row r="41">
      <c r="A41" s="19" t="inlineStr">
        <is>
          <t>broker_fee</t>
        </is>
      </c>
      <c r="B41" s="3" t="inlineStr">
        <is>
          <t>Customs broker entry fee</t>
        </is>
      </c>
      <c r="C41" s="3" t="inlineStr">
        <is>
          <t>$/entry</t>
        </is>
      </c>
      <c r="D41" s="22" t="n">
        <v>250</v>
      </c>
      <c r="E41" s="22" t="n">
        <v>150</v>
      </c>
      <c r="F41" s="22" t="n">
        <v>100</v>
      </c>
      <c r="G41" s="23">
        <f>CHOOSE($D$3,D41,E41,F41)</f>
        <v>150.0</v>
      </c>
      <c r="H41" s="3" t="inlineStr">
        <is>
          <t>VENDOR</t>
        </is>
      </c>
      <c r="I41" s="3" t="inlineStr">
        <is>
          <t>$100-$250 (Strix), $150-$350 (GingerControl) (https://strixsmart.com/resources/blog/customs-broker-cost).</t>
        </is>
      </c>
    </row>
    <row r="42">
      <c r="A42" s="19" t="inlineStr">
        <is>
          <t>isf_fee</t>
        </is>
      </c>
      <c r="B42" s="3" t="inlineStr">
        <is>
          <t>ISF filing</t>
        </is>
      </c>
      <c r="C42" s="3" t="inlineStr">
        <is>
          <t>$/entry</t>
        </is>
      </c>
      <c r="D42" s="22" t="n">
        <v>75</v>
      </c>
      <c r="E42" s="22" t="n">
        <v>50</v>
      </c>
      <c r="F42" s="22" t="n">
        <v>30</v>
      </c>
      <c r="G42" s="23">
        <f>CHOOSE($D$3,D42,E42,F42)</f>
        <v>50.0</v>
      </c>
      <c r="H42" s="3" t="inlineStr">
        <is>
          <t>VENDOR</t>
        </is>
      </c>
      <c r="I42" s="3" t="inlineStr">
        <is>
          <t>$30-$75 per filing (Strix; Suaid).</t>
        </is>
      </c>
    </row>
    <row r="43">
      <c r="A43" s="19" t="inlineStr">
        <is>
          <t>bond_fee</t>
        </is>
      </c>
      <c r="B43" s="3" t="inlineStr">
        <is>
          <t>Customs bond (single-entry)</t>
        </is>
      </c>
      <c r="C43" s="3" t="inlineStr">
        <is>
          <t>$/entry</t>
        </is>
      </c>
      <c r="D43" s="22" t="n">
        <v>75</v>
      </c>
      <c r="E43" s="22" t="n">
        <v>75</v>
      </c>
      <c r="F43" s="22" t="n">
        <v>40</v>
      </c>
      <c r="G43" s="23">
        <f>CHOOSE($D$3,D43,E43,F43)</f>
        <v>75.0</v>
      </c>
      <c r="H43" s="3" t="inlineStr">
        <is>
          <t>VENDOR</t>
        </is>
      </c>
      <c r="I43" s="3" t="inlineStr">
        <is>
          <t>Clearit: $5 per $1,000, $40 min + $35 prep (https://clearitusa.com/customs-clearance-pricing-rates/).</t>
        </is>
      </c>
    </row>
    <row r="44">
      <c r="A44" s="19" t="inlineStr">
        <is>
          <t>mpf_rate</t>
        </is>
      </c>
      <c r="B44" s="3" t="inlineStr">
        <is>
          <t>Merchandise Processing Fee rate (FY2026)</t>
        </is>
      </c>
      <c r="C44" s="3" t="inlineStr">
        <is>
          <t>% of value</t>
        </is>
      </c>
      <c r="D44" s="27" t="n">
        <v>0.003464</v>
      </c>
      <c r="E44" s="27" t="n">
        <v>0.003464</v>
      </c>
      <c r="F44" s="27" t="n">
        <v>0.003464</v>
      </c>
      <c r="G44" s="28">
        <f>CHOOSE($D$3,D44,E44,F44)</f>
        <v>0.003464</v>
      </c>
      <c r="H44" s="3" t="inlineStr">
        <is>
          <t>FILING</t>
        </is>
      </c>
      <c r="I44" s="3" t="inlineStr">
        <is>
          <t>CBP Dec. 25-10 via GHY (https://www.ghy.com/trade-compliance/cbp-customs-user-fees-fy-2026/). FY2027 values not found (gap).</t>
        </is>
      </c>
    </row>
    <row r="45">
      <c r="A45" s="19" t="inlineStr">
        <is>
          <t>mpf_min</t>
        </is>
      </c>
      <c r="B45" s="3" t="inlineStr">
        <is>
          <t>MPF minimum per formal entry</t>
        </is>
      </c>
      <c r="C45" s="3" t="inlineStr">
        <is>
          <t>$/entry</t>
        </is>
      </c>
      <c r="D45" s="22" t="n">
        <v>33.58</v>
      </c>
      <c r="E45" s="22" t="n">
        <v>33.58</v>
      </c>
      <c r="F45" s="22" t="n">
        <v>33.58</v>
      </c>
      <c r="G45" s="23">
        <f>CHOOSE($D$3,D45,E45,F45)</f>
        <v>33.58</v>
      </c>
      <c r="H45" s="3" t="inlineStr">
        <is>
          <t>FILING</t>
        </is>
      </c>
      <c r="I45" s="3" t="inlineStr">
        <is>
          <t>FY2026.</t>
        </is>
      </c>
    </row>
    <row r="46">
      <c r="A46" s="19" t="inlineStr">
        <is>
          <t>mpf_max</t>
        </is>
      </c>
      <c r="B46" s="3" t="inlineStr">
        <is>
          <t>MPF maximum per formal entry</t>
        </is>
      </c>
      <c r="C46" s="3" t="inlineStr">
        <is>
          <t>$/entry</t>
        </is>
      </c>
      <c r="D46" s="22" t="n">
        <v>651.5</v>
      </c>
      <c r="E46" s="22" t="n">
        <v>651.5</v>
      </c>
      <c r="F46" s="22" t="n">
        <v>651.5</v>
      </c>
      <c r="G46" s="23">
        <f>CHOOSE($D$3,D46,E46,F46)</f>
        <v>651.5</v>
      </c>
      <c r="H46" s="3" t="inlineStr">
        <is>
          <t>FILING</t>
        </is>
      </c>
      <c r="I46" s="3" t="inlineStr">
        <is>
          <t>FY2026.</t>
        </is>
      </c>
    </row>
    <row r="47">
      <c r="A47" s="19" t="inlineStr">
        <is>
          <t>hmf_rate</t>
        </is>
      </c>
      <c r="B47" s="3" t="inlineStr">
        <is>
          <t>Harbor Maintenance Fee (ocean)</t>
        </is>
      </c>
      <c r="C47" s="3" t="inlineStr">
        <is>
          <t>% of value</t>
        </is>
      </c>
      <c r="D47" s="27" t="n">
        <v>0.00125</v>
      </c>
      <c r="E47" s="27" t="n">
        <v>0.00125</v>
      </c>
      <c r="F47" s="27" t="n">
        <v>0.00125</v>
      </c>
      <c r="G47" s="28">
        <f>CHOOSE($D$3,D47,E47,F47)</f>
        <v>0.00125</v>
      </c>
      <c r="H47" s="3" t="inlineStr">
        <is>
          <t>FILING</t>
        </is>
      </c>
      <c r="I47" s="3" t="inlineStr">
        <is>
          <t>0.125% of value, ocean only.</t>
        </is>
      </c>
    </row>
    <row r="48">
      <c r="A48" s="19" t="inlineStr">
        <is>
          <t>packaging_fountain</t>
        </is>
      </c>
      <c r="B48" s="3" t="inlineStr">
        <is>
          <t>Retail box + insert (from OEM)</t>
        </is>
      </c>
      <c r="C48" s="3" t="inlineStr">
        <is>
          <t>$/unit</t>
        </is>
      </c>
      <c r="D48" s="22" t="n">
        <v>1.5</v>
      </c>
      <c r="E48" s="22" t="n">
        <v>1</v>
      </c>
      <c r="F48" s="22" t="n">
        <v>0.7</v>
      </c>
      <c r="G48" s="23">
        <f>CHOOSE($D$3,D48,E48,F48)</f>
        <v>1.0</v>
      </c>
      <c r="H48" s="16" t="inlineStr">
        <is>
          <t>ASSUMPTION</t>
        </is>
      </c>
      <c r="I48" s="3" t="inlineStr">
        <is>
          <t>cost_inputs.md Q6: Chinese supplier box $0.60-$1.20 + insert $0.10-$0.30 (no quote).</t>
        </is>
      </c>
    </row>
    <row r="49">
      <c r="A49" s="19" t="inlineStr">
        <is>
          <t>fcc_cost</t>
        </is>
      </c>
      <c r="B49" s="3" t="inlineStr">
        <is>
          <t>FCC Part 15B SDoC testing (pump/controller)</t>
        </is>
      </c>
      <c r="C49" s="3" t="inlineStr">
        <is>
          <t>$ one-time</t>
        </is>
      </c>
      <c r="D49" s="29" t="n">
        <v>5000</v>
      </c>
      <c r="E49" s="29" t="n">
        <v>3000</v>
      </c>
      <c r="F49" s="29" t="n">
        <v>1500</v>
      </c>
      <c r="G49" s="30">
        <f>CHOOSE($D$3,D49,E49,F49)</f>
        <v>3000.0</v>
      </c>
      <c r="H49" s="3" t="inlineStr">
        <is>
          <t>VENDOR</t>
        </is>
      </c>
      <c r="I49" s="3" t="inlineStr">
        <is>
          <t>US lab $3,000-$5,000 (https://compliancetesting.com/fcc-certification-faqs/fcc-certification-cost/); China-lab lower bound is ASSUMPTION.</t>
        </is>
      </c>
    </row>
    <row r="50">
      <c r="A50" s="19" t="inlineStr">
        <is>
          <t>prop65_cost</t>
        </is>
      </c>
      <c r="B50" s="3" t="inlineStr">
        <is>
          <t>Prop 65 lab panel (lead/cadmium/phthalates)</t>
        </is>
      </c>
      <c r="C50" s="3" t="inlineStr">
        <is>
          <t>$ one-time</t>
        </is>
      </c>
      <c r="D50" s="29" t="n">
        <v>900</v>
      </c>
      <c r="E50" s="29" t="n">
        <v>650</v>
      </c>
      <c r="F50" s="29" t="n">
        <v>450</v>
      </c>
      <c r="G50" s="30">
        <f>CHOOSE($D$3,D50,E50,F50)</f>
        <v>650.0</v>
      </c>
      <c r="H50" s="3" t="inlineStr">
        <is>
          <t>VENDOR</t>
        </is>
      </c>
      <c r="I50" s="3" t="inlineStr">
        <is>
          <t>$445 per material (ComplianceGate, 2023, https://www.compliancegate.com/california-proposition-65-product-lab-testing/); 2-3 materials.</t>
        </is>
      </c>
    </row>
    <row r="51">
      <c r="A51" s="19" t="inlineStr">
        <is>
          <t>food_cost</t>
        </is>
      </c>
      <c r="B51" s="3" t="inlineStr">
        <is>
          <t>Food-contact testing (FDA/LFGB, bowl + plastics)</t>
        </is>
      </c>
      <c r="C51" s="3" t="inlineStr">
        <is>
          <t>$ one-time</t>
        </is>
      </c>
      <c r="D51" s="29" t="n">
        <v>1500</v>
      </c>
      <c r="E51" s="29" t="n">
        <v>1000</v>
      </c>
      <c r="F51" s="29" t="n">
        <v>600</v>
      </c>
      <c r="G51" s="30">
        <f>CHOOSE($D$3,D51,E51,F51)</f>
        <v>1000.0</v>
      </c>
      <c r="H51" s="3" t="inlineStr">
        <is>
          <t>VENDOR</t>
        </is>
      </c>
      <c r="I51" s="3" t="inlineStr">
        <is>
          <t>Alibaba seller blogs, conflicting $300-$1,800 per material (https://seller.alibaba.com/blogs/2026/southeast-asia/kitchenware/lfgb-certification-guide-alibaba-b2b).</t>
        </is>
      </c>
    </row>
    <row r="52">
      <c r="A52" s="19" t="inlineStr">
        <is>
          <t>cert_units</t>
        </is>
      </c>
      <c r="B52" s="3" t="inlineStr">
        <is>
          <t>Units over which certification is amortized</t>
        </is>
      </c>
      <c r="C52" s="3" t="inlineStr">
        <is>
          <t>units</t>
        </is>
      </c>
      <c r="D52" s="20" t="n">
        <v>500</v>
      </c>
      <c r="E52" s="20" t="n">
        <v>1000</v>
      </c>
      <c r="F52" s="20" t="n">
        <v>2000</v>
      </c>
      <c r="G52" s="21">
        <f>CHOOSE($D$3,D52,E52,F52)</f>
        <v>1000.0</v>
      </c>
      <c r="H52" s="16" t="inlineStr">
        <is>
          <t>ASSUMPTION</t>
        </is>
      </c>
      <c r="I52" s="3" t="inlineStr">
        <is>
          <t>Amortization basis for FCC + Prop 65 + food-contact.</t>
        </is>
      </c>
    </row>
    <row r="53">
      <c r="A53" s="19" t="inlineStr">
        <is>
          <t>mat_fob</t>
        </is>
      </c>
      <c r="B53" s="3" t="inlineStr">
        <is>
          <t>Litter mat OEM FOB</t>
        </is>
      </c>
      <c r="C53" s="3" t="inlineStr">
        <is>
          <t>$/unit</t>
        </is>
      </c>
      <c r="D53" s="22" t="n">
        <v>4</v>
      </c>
      <c r="E53" s="22" t="n">
        <v>3</v>
      </c>
      <c r="F53" s="22" t="n">
        <v>2</v>
      </c>
      <c r="G53" s="23">
        <f>CHOOSE($D$3,D53,E53,F53)</f>
        <v>3.0</v>
      </c>
      <c r="H53" s="16" t="inlineStr">
        <is>
          <t>ASSUMPTION</t>
        </is>
      </c>
      <c r="I53" s="3" t="inlineStr">
        <is>
          <t>No OEM quote found; AliExpress retail $7.22 smallest size (https://www.aliexpress.us/item/3256807670865306.html).</t>
        </is>
      </c>
    </row>
    <row r="54">
      <c r="A54" s="19" t="inlineStr">
        <is>
          <t>mat_duty</t>
        </is>
      </c>
      <c r="B54" s="3" t="inlineStr">
        <is>
          <t>Litter mat duty</t>
        </is>
      </c>
      <c r="C54" s="3" t="inlineStr">
        <is>
          <t>% of FOB</t>
        </is>
      </c>
      <c r="D54" s="24" t="n">
        <v>0.425</v>
      </c>
      <c r="E54" s="24" t="n">
        <v>0.425</v>
      </c>
      <c r="F54" s="24" t="n">
        <v>0.25</v>
      </c>
      <c r="G54" s="25">
        <f>CHOOSE($D$3,D54,E54,F54)</f>
        <v>0.425</v>
      </c>
      <c r="H54" s="16" t="inlineStr">
        <is>
          <t>ASSUMPTION</t>
        </is>
      </c>
      <c r="I54" s="3" t="inlineStr">
        <is>
          <t>cost_inputs.md Q4: conservative 25% + 12.5% + ~5% MFN = 42.5%; List 4A path ~20-25%. No CBP ruling.</t>
        </is>
      </c>
    </row>
    <row r="55">
      <c r="A55" s="19" t="inlineStr">
        <is>
          <t>mat_freight</t>
        </is>
      </c>
      <c r="B55" s="3" t="inlineStr">
        <is>
          <t>Litter mat freight per unit</t>
        </is>
      </c>
      <c r="C55" s="3" t="inlineStr">
        <is>
          <t>$/unit</t>
        </is>
      </c>
      <c r="D55" s="22" t="n">
        <v>1</v>
      </c>
      <c r="E55" s="22" t="n">
        <v>0.8</v>
      </c>
      <c r="F55" s="22" t="n">
        <v>0.5</v>
      </c>
      <c r="G55" s="23">
        <f>CHOOSE($D$3,D55,E55,F55)</f>
        <v>0.8</v>
      </c>
      <c r="H55" s="16" t="inlineStr">
        <is>
          <t>ASSUMPTION</t>
        </is>
      </c>
      <c r="I55" s="3" t="inlineStr">
        <is>
          <t>Consolidated with fountain LCL.</t>
        </is>
      </c>
    </row>
    <row r="56">
      <c r="A56" s="19" t="inlineStr">
        <is>
          <t>filter_fob</t>
        </is>
      </c>
      <c r="B56" s="3" t="inlineStr">
        <is>
          <t>Filter FOB (round carbon + resin)</t>
        </is>
      </c>
      <c r="C56" s="3" t="inlineStr">
        <is>
          <t>$/filter</t>
        </is>
      </c>
      <c r="D56" s="22" t="n">
        <v>0.59</v>
      </c>
      <c r="E56" s="22" t="n">
        <v>0.49</v>
      </c>
      <c r="F56" s="22" t="n">
        <v>0.45</v>
      </c>
      <c r="G56" s="23">
        <f>CHOOSE($D$3,D56,E56,F56)</f>
        <v>0.49</v>
      </c>
      <c r="H56" s="3" t="inlineStr">
        <is>
          <t>VENDOR</t>
        </is>
      </c>
      <c r="I56" s="3" t="inlineStr">
        <is>
          <t>Wuxi MNC $0.59 / $0.49 / $0.45 at 40 / 540 / 1,620+ (https://www.globalsources.com/Pet-waterer/cat-fountain-filter-1194932180p.htm).</t>
        </is>
      </c>
    </row>
    <row r="57">
      <c r="A57" s="19" t="inlineStr">
        <is>
          <t>filter_duty</t>
        </is>
      </c>
      <c r="B57" s="3" t="inlineStr">
        <is>
          <t>Filter duty (HTS 8421.x unconfirmed)</t>
        </is>
      </c>
      <c r="C57" s="3" t="inlineStr">
        <is>
          <t>% of FOB</t>
        </is>
      </c>
      <c r="D57" s="24" t="n">
        <v>0.375</v>
      </c>
      <c r="E57" s="24" t="n">
        <v>0.375</v>
      </c>
      <c r="F57" s="24" t="n">
        <v>0.375</v>
      </c>
      <c r="G57" s="25">
        <f>CHOOSE($D$3,D57,E57,F57)</f>
        <v>0.375</v>
      </c>
      <c r="H57" s="16" t="inlineStr">
        <is>
          <t>ASSUMPTION</t>
        </is>
      </c>
      <c r="I57" s="3" t="inlineStr">
        <is>
          <t>cost_inputs.md Q4 planning 37.5%; List 3 status not verified.</t>
        </is>
      </c>
    </row>
    <row r="58">
      <c r="A58" s="19" t="inlineStr">
        <is>
          <t>filter_freight_pack</t>
        </is>
      </c>
      <c r="B58" s="3" t="inlineStr">
        <is>
          <t>Filter freight to US stock per 6-pack</t>
        </is>
      </c>
      <c r="C58" s="3" t="inlineStr">
        <is>
          <t>$/pack</t>
        </is>
      </c>
      <c r="D58" s="22" t="n">
        <v>1.4</v>
      </c>
      <c r="E58" s="22" t="n">
        <v>1</v>
      </c>
      <c r="F58" s="22" t="n">
        <v>0.5</v>
      </c>
      <c r="G58" s="23">
        <f>CHOOSE($D$3,D58,E58,F58)</f>
        <v>1.0</v>
      </c>
      <c r="H58" s="3" t="inlineStr">
        <is>
          <t>ESTIMATE</t>
        </is>
      </c>
      <c r="I58" s="3" t="inlineStr">
        <is>
          <t>Air ~$6.30-$7/kg -&gt; ~$1.30-$1.40 per pack before destination charges (cost_inputs.md Q3); sea cheaper.</t>
        </is>
      </c>
    </row>
    <row r="59">
      <c r="A59" s="19" t="inlineStr">
        <is>
          <t>filter_pack_pkg</t>
        </is>
      </c>
      <c r="B59" s="3" t="inlineStr">
        <is>
          <t>Filter pack pouch / sleeve</t>
        </is>
      </c>
      <c r="C59" s="3" t="inlineStr">
        <is>
          <t>$/pack</t>
        </is>
      </c>
      <c r="D59" s="22" t="n">
        <v>0.3</v>
      </c>
      <c r="E59" s="22" t="n">
        <v>0.2</v>
      </c>
      <c r="F59" s="22" t="n">
        <v>0.15</v>
      </c>
      <c r="G59" s="23">
        <f>CHOOSE($D$3,D59,E59,F59)</f>
        <v>0.2</v>
      </c>
      <c r="H59" s="16" t="inlineStr">
        <is>
          <t>ASSUMPTION</t>
        </is>
      </c>
      <c r="I59" s="3" t="inlineStr">
        <is>
          <t>No packaging quote found.</t>
        </is>
      </c>
    </row>
    <row r="60">
      <c r="A60" s="5" t="n"/>
      <c r="B60" s="4" t="inlineStr">
        <is>
          <t>D. COGS - private-label stage, espresso Dedica kit (SHADOW CASE)</t>
        </is>
      </c>
      <c r="C60" s="5" t="n"/>
      <c r="D60" s="5" t="n"/>
      <c r="E60" s="5" t="n"/>
      <c r="F60" s="5" t="n"/>
      <c r="G60" s="5" t="n"/>
      <c r="H60" s="5" t="n"/>
      <c r="I60" s="5" t="n"/>
    </row>
    <row r="61">
      <c r="A61" s="19" t="inlineStr">
        <is>
          <t>oem_pf</t>
        </is>
      </c>
      <c r="B61" s="3" t="inlineStr">
        <is>
          <t>OEM 51mm bottomless portafilter FOB</t>
        </is>
      </c>
      <c r="C61" s="3" t="inlineStr">
        <is>
          <t>$/unit</t>
        </is>
      </c>
      <c r="D61" s="22" t="n">
        <v>33.5</v>
      </c>
      <c r="E61" s="22" t="n">
        <v>12</v>
      </c>
      <c r="F61" s="22" t="n">
        <v>8.470000000000001</v>
      </c>
      <c r="G61" s="23">
        <f>CHOOSE($D$3,D61,E61,F61)</f>
        <v>12.0</v>
      </c>
      <c r="H61" s="3" t="inlineStr">
        <is>
          <t>VENDOR</t>
        </is>
      </c>
      <c r="I61" s="3" t="inlineStr">
        <is>
          <t>CONFLICT: only 51mm-specific OEM is Everich $32-$35/set at 100 MOQ (https://www.alibaba.com/product-detail/51mm-53mm-54mm-55mm-Coffee-Espresso_1600223449255.html) vs 54mm Nuoda ~$10-$12 (logo 50) and Shenzhen Magic $8.47. Base uses $12 (54mm proxy); pess carries Everich.</t>
        </is>
      </c>
    </row>
    <row r="62">
      <c r="A62" s="19" t="inlineStr">
        <is>
          <t>oem_tamper</t>
        </is>
      </c>
      <c r="B62" s="3" t="inlineStr">
        <is>
          <t>OEM 51mm tamper FOB</t>
        </is>
      </c>
      <c r="C62" s="3" t="inlineStr">
        <is>
          <t>$/unit</t>
        </is>
      </c>
      <c r="D62" s="22" t="n">
        <v>5</v>
      </c>
      <c r="E62" s="22" t="n">
        <v>4</v>
      </c>
      <c r="F62" s="22" t="n">
        <v>3</v>
      </c>
      <c r="G62" s="23">
        <f>CHOOSE($D$3,D62,E62,F62)</f>
        <v>4.0</v>
      </c>
      <c r="H62" s="16" t="inlineStr">
        <is>
          <t>ASSUMPTION</t>
        </is>
      </c>
      <c r="I62" s="3" t="inlineStr">
        <is>
          <t>No tamper OEM price visible (CP3 Sec.3.3).</t>
        </is>
      </c>
    </row>
    <row r="63">
      <c r="A63" s="19" t="inlineStr">
        <is>
          <t>oem_wdt</t>
        </is>
      </c>
      <c r="B63" s="3" t="inlineStr">
        <is>
          <t>OEM WDT tool FOB</t>
        </is>
      </c>
      <c r="C63" s="3" t="inlineStr">
        <is>
          <t>$/unit</t>
        </is>
      </c>
      <c r="D63" s="22" t="n">
        <v>2.5</v>
      </c>
      <c r="E63" s="22" t="n">
        <v>1.8</v>
      </c>
      <c r="F63" s="22" t="n">
        <v>1.2</v>
      </c>
      <c r="G63" s="23">
        <f>CHOOSE($D$3,D63,E63,F63)</f>
        <v>1.8</v>
      </c>
      <c r="H63" s="16" t="inlineStr">
        <is>
          <t>ASSUMPTION</t>
        </is>
      </c>
      <c r="I63" s="3" t="inlineStr">
        <is>
          <t>Custom WDT MOQ 5, price not visible.</t>
        </is>
      </c>
    </row>
    <row r="64">
      <c r="A64" s="19" t="inlineStr">
        <is>
          <t>oem_screen</t>
        </is>
      </c>
      <c r="B64" s="3" t="inlineStr">
        <is>
          <t>OEM 51mm puck screen FOB</t>
        </is>
      </c>
      <c r="C64" s="3" t="inlineStr">
        <is>
          <t>$/unit</t>
        </is>
      </c>
      <c r="D64" s="22" t="n">
        <v>2</v>
      </c>
      <c r="E64" s="22" t="n">
        <v>1.5</v>
      </c>
      <c r="F64" s="22" t="n">
        <v>1</v>
      </c>
      <c r="G64" s="23">
        <f>CHOOSE($D$3,D64,E64,F64)</f>
        <v>1.5</v>
      </c>
      <c r="H64" s="16" t="inlineStr">
        <is>
          <t>ASSUMPTION</t>
        </is>
      </c>
      <c r="I64" s="3" t="inlineStr">
        <is>
          <t>Custom-logo screen MOQ 200, $2 sample; unit price not visible.</t>
        </is>
      </c>
    </row>
    <row r="65">
      <c r="A65" s="19" t="inlineStr">
        <is>
          <t>oem_kit</t>
        </is>
      </c>
      <c r="B65" s="3" t="inlineStr">
        <is>
          <t>OEM Dedica kit FOB (formula)</t>
        </is>
      </c>
      <c r="C65" s="3" t="inlineStr">
        <is>
          <t>$/kit</t>
        </is>
      </c>
      <c r="D65" s="26">
        <f>D61+D62+D63+D64</f>
        <v>43.0</v>
      </c>
      <c r="E65" s="26">
        <f>E61+E62+E63+E64</f>
        <v>19.3</v>
      </c>
      <c r="F65" s="26">
        <f>F61+F62+F63+F64</f>
        <v>13.67</v>
      </c>
      <c r="G65" s="23">
        <f>CHOOSE($D$3,D65,E65,F65)</f>
        <v>19.3</v>
      </c>
      <c r="H65" s="3" t="inlineStr">
        <is>
          <t>ESTIMATE</t>
        </is>
      </c>
      <c r="I65" s="3" t="inlineStr">
        <is>
          <t>Sum of components.</t>
        </is>
      </c>
    </row>
    <row r="66">
      <c r="A66" s="19" t="inlineStr">
        <is>
          <t>esp_duty</t>
        </is>
      </c>
      <c r="B66" s="3" t="inlineStr">
        <is>
          <t>Espresso tool duty stack</t>
        </is>
      </c>
      <c r="C66" s="3" t="inlineStr">
        <is>
          <t>% of FOB</t>
        </is>
      </c>
      <c r="D66" s="24" t="n">
        <v>0.414</v>
      </c>
      <c r="E66" s="24" t="n">
        <v>0.414</v>
      </c>
      <c r="F66" s="24" t="n">
        <v>0.279</v>
      </c>
      <c r="G66" s="25">
        <f>CHOOSE($D$3,D66,E66,F66)</f>
        <v>0.414</v>
      </c>
      <c r="H66" s="3" t="inlineStr">
        <is>
          <t>ESTIMATE</t>
        </is>
      </c>
      <c r="I66" s="3" t="inlineStr">
        <is>
          <t>CONFLICT: CP3 24%-36.5% + MFN (list status unverified) vs cost_inputs.md Q4 List 3 25% + 12.5% + MFN 3.7-3.9% (CBP N335954). Conservative base 41.4%.</t>
        </is>
      </c>
    </row>
    <row r="67">
      <c r="A67" s="19" t="inlineStr">
        <is>
          <t>esp_freight</t>
        </is>
      </c>
      <c r="B67" s="3" t="inlineStr">
        <is>
          <t>Freight per kit</t>
        </is>
      </c>
      <c r="C67" s="3" t="inlineStr">
        <is>
          <t>$/kit</t>
        </is>
      </c>
      <c r="D67" s="22" t="n">
        <v>2.5</v>
      </c>
      <c r="E67" s="22" t="n">
        <v>1.5</v>
      </c>
      <c r="F67" s="22" t="n">
        <v>1</v>
      </c>
      <c r="G67" s="23">
        <f>CHOOSE($D$3,D67,E67,F67)</f>
        <v>1.5</v>
      </c>
      <c r="H67" s="16" t="inlineStr">
        <is>
          <t>ASSUMPTION</t>
        </is>
      </c>
      <c r="I67" s="3" t="inlineStr">
        <is>
          <t>CP3 placeholder $1.50 freight.</t>
        </is>
      </c>
    </row>
    <row r="68">
      <c r="A68" s="19" t="inlineStr">
        <is>
          <t>esp_moq</t>
        </is>
      </c>
      <c r="B68" s="3" t="inlineStr">
        <is>
          <t>Kits per import entry</t>
        </is>
      </c>
      <c r="C68" s="3" t="inlineStr">
        <is>
          <t>units</t>
        </is>
      </c>
      <c r="D68" s="20" t="n">
        <v>100</v>
      </c>
      <c r="E68" s="20" t="n">
        <v>200</v>
      </c>
      <c r="F68" s="20" t="n">
        <v>300</v>
      </c>
      <c r="G68" s="21">
        <f>CHOOSE($D$3,D68,E68,F68)</f>
        <v>200.0</v>
      </c>
      <c r="H68" s="16" t="inlineStr">
        <is>
          <t>ASSUMPTION</t>
        </is>
      </c>
      <c r="I68" s="3" t="inlineStr">
        <is>
          <t>Espresso OEM MOQs 20-600 (CP3 Sec.3.3).</t>
        </is>
      </c>
    </row>
    <row r="69">
      <c r="A69" s="19" t="inlineStr">
        <is>
          <t>esp_packaging</t>
        </is>
      </c>
      <c r="B69" s="3" t="inlineStr">
        <is>
          <t>Kit retail box + insert</t>
        </is>
      </c>
      <c r="C69" s="3" t="inlineStr">
        <is>
          <t>$/kit</t>
        </is>
      </c>
      <c r="D69" s="22" t="n">
        <v>1.5</v>
      </c>
      <c r="E69" s="22" t="n">
        <v>1</v>
      </c>
      <c r="F69" s="22" t="n">
        <v>0.7</v>
      </c>
      <c r="G69" s="23">
        <f>CHOOSE($D$3,D69,E69,F69)</f>
        <v>1.0</v>
      </c>
      <c r="H69" s="16" t="inlineStr">
        <is>
          <t>ASSUMPTION</t>
        </is>
      </c>
      <c r="I69" s="3" t="inlineStr">
        <is>
          <t>No quote.</t>
        </is>
      </c>
    </row>
    <row r="70">
      <c r="A70" s="19" t="inlineStr">
        <is>
          <t>esp_cert_units</t>
        </is>
      </c>
      <c r="B70" s="3" t="inlineStr">
        <is>
          <t>Kits over which Prop 65 + food-contact tests are amortized</t>
        </is>
      </c>
      <c r="C70" s="3" t="inlineStr">
        <is>
          <t>units</t>
        </is>
      </c>
      <c r="D70" s="20" t="n">
        <v>300</v>
      </c>
      <c r="E70" s="20" t="n">
        <v>500</v>
      </c>
      <c r="F70" s="20" t="n">
        <v>1000</v>
      </c>
      <c r="G70" s="21">
        <f>CHOOSE($D$3,D70,E70,F70)</f>
        <v>500.0</v>
      </c>
      <c r="H70" s="16" t="inlineStr">
        <is>
          <t>ASSUMPTION</t>
        </is>
      </c>
      <c r="I70" s="3" t="inlineStr">
        <is>
          <t>Prop 65 lead-in-brass exposure (CP3 Sec.3.6); uses Prop 65 and food-contact costs above.</t>
        </is>
      </c>
    </row>
    <row r="71">
      <c r="A71" s="5" t="n"/>
      <c r="B71" s="4" t="inlineStr">
        <is>
          <t>E. Beans - US roaster dropship (SHADOW CASE; Roastify / Dripshipper published rates)</t>
        </is>
      </c>
      <c r="C71" s="5" t="n"/>
      <c r="D71" s="5" t="n"/>
      <c r="E71" s="5" t="n"/>
      <c r="F71" s="5" t="n"/>
      <c r="G71" s="5" t="n"/>
      <c r="H71" s="5" t="n"/>
      <c r="I71" s="5" t="n"/>
    </row>
    <row r="72">
      <c r="A72" s="19" t="inlineStr">
        <is>
          <t>bean_bag</t>
        </is>
      </c>
      <c r="B72" s="3" t="inlineStr">
        <is>
          <t>Roaster wholesale cost per 12oz bag</t>
        </is>
      </c>
      <c r="C72" s="3" t="inlineStr">
        <is>
          <t>$/bag</t>
        </is>
      </c>
      <c r="D72" s="22" t="n">
        <v>13.2</v>
      </c>
      <c r="E72" s="22" t="n">
        <v>12</v>
      </c>
      <c r="F72" s="22" t="n">
        <v>9.390000000000001</v>
      </c>
      <c r="G72" s="23">
        <f>CHOOSE($D$3,D72,E72,F72)</f>
        <v>12.0</v>
      </c>
      <c r="H72" s="3" t="inlineStr">
        <is>
          <t>VENDOR</t>
        </is>
      </c>
      <c r="I72" s="3" t="inlineStr">
        <is>
          <t>CONFLICT: Roastify member bag $12.00 + ship (https://roastify.app/pricing) vs Dripshipper '$9.39+' free shipping (https://www.dripshipper.io/bulk-espresso-beans) vs merchant anecdote ~$14 landed. Base = Roastify (conservative); pess +10% drift (ASSUMPTION).</t>
        </is>
      </c>
    </row>
    <row r="73">
      <c r="A73" s="19" t="inlineStr">
        <is>
          <t>roaster_ship_first</t>
        </is>
      </c>
      <c r="B73" s="3" t="inlineStr">
        <is>
          <t>Roaster dropship shipping, first item</t>
        </is>
      </c>
      <c r="C73" s="3" t="inlineStr">
        <is>
          <t>$/shipment</t>
        </is>
      </c>
      <c r="D73" s="22" t="n">
        <v>4.5</v>
      </c>
      <c r="E73" s="22" t="n">
        <v>4.5</v>
      </c>
      <c r="F73" s="22" t="n">
        <v>0</v>
      </c>
      <c r="G73" s="23">
        <f>CHOOSE($D$3,D73,E73,F73)</f>
        <v>4.5</v>
      </c>
      <c r="H73" s="3" t="inlineStr">
        <is>
          <t>VENDOR</t>
        </is>
      </c>
      <c r="I73" s="3" t="inlineStr">
        <is>
          <t>Roastify $4.50 first item; Dripshipper free shipping (opt).</t>
        </is>
      </c>
    </row>
    <row r="74">
      <c r="A74" s="19" t="inlineStr">
        <is>
          <t>roaster_ship_add</t>
        </is>
      </c>
      <c r="B74" s="3" t="inlineStr">
        <is>
          <t>Roaster dropship shipping, each additional item</t>
        </is>
      </c>
      <c r="C74" s="3" t="inlineStr">
        <is>
          <t>$/item</t>
        </is>
      </c>
      <c r="D74" s="22" t="n">
        <v>1.25</v>
      </c>
      <c r="E74" s="22" t="n">
        <v>1.25</v>
      </c>
      <c r="F74" s="22" t="n">
        <v>0</v>
      </c>
      <c r="G74" s="23">
        <f>CHOOSE($D$3,D74,E74,F74)</f>
        <v>1.25</v>
      </c>
      <c r="H74" s="3" t="inlineStr">
        <is>
          <t>VENDOR</t>
        </is>
      </c>
      <c r="I74" s="3" t="inlineStr">
        <is>
          <t>Roastify $1.25.</t>
        </is>
      </c>
    </row>
    <row r="75">
      <c r="A75" s="5" t="n"/>
      <c r="B75" s="4" t="inlineStr">
        <is>
          <t>F. USPS Ground Advantage COMMERCIAL rate card - here columns D / E / F = Zone 2 / Zone 5 / Zone 8 (not scenarios)</t>
        </is>
      </c>
      <c r="C75" s="5" t="n"/>
      <c r="D75" s="5" t="n"/>
      <c r="E75" s="5" t="n"/>
      <c r="F75" s="5" t="n"/>
      <c r="G75" s="5" t="n"/>
      <c r="H75" s="5" t="n"/>
      <c r="I75" s="31" t="inlineStr">
        <is>
          <t>USPS Notice 123, edition effective Oct 4, 2026 (https://pe.usps.com/text/dmm300/Notice123.htm); includes temporary 8% surcharge to Jan 17, 2027.</t>
        </is>
      </c>
    </row>
    <row r="76">
      <c r="A76" s="19" t="inlineStr">
        <is>
          <t>rc_05</t>
        </is>
      </c>
      <c r="B76" s="3" t="inlineStr">
        <is>
          <t>Up to 8 oz (filter pack mailer)</t>
        </is>
      </c>
      <c r="C76" s="3" t="inlineStr">
        <is>
          <t>$/parcel</t>
        </is>
      </c>
      <c r="D76" s="22" t="n">
        <v>7.34</v>
      </c>
      <c r="E76" s="22" t="n">
        <v>8.24</v>
      </c>
      <c r="F76" s="22" t="n">
        <v>8.949999999999999</v>
      </c>
      <c r="G76" s="14" t="inlineStr">
        <is>
          <t>n/a</t>
        </is>
      </c>
      <c r="H76" s="3" t="inlineStr">
        <is>
          <t>VENDOR</t>
        </is>
      </c>
      <c r="I76" s="3" t="inlineStr">
        <is>
          <t>Official USPS price list (tool-extracted; verify cells).</t>
        </is>
      </c>
    </row>
    <row r="77">
      <c r="A77" s="19" t="inlineStr">
        <is>
          <t>rc_1</t>
        </is>
      </c>
      <c r="B77" s="3" t="inlineStr">
        <is>
          <t>1 lb</t>
        </is>
      </c>
      <c r="C77" s="3" t="inlineStr">
        <is>
          <t>$/parcel</t>
        </is>
      </c>
      <c r="D77" s="22" t="n">
        <v>8.08</v>
      </c>
      <c r="E77" s="22" t="n">
        <v>9.289999999999999</v>
      </c>
      <c r="F77" s="22" t="n">
        <v>11.22</v>
      </c>
      <c r="G77" s="14" t="inlineStr">
        <is>
          <t>n/a</t>
        </is>
      </c>
      <c r="H77" s="3" t="inlineStr">
        <is>
          <t>VENDOR</t>
        </is>
      </c>
      <c r="I77" s="3" t="inlineStr">
        <is>
          <t>Official USPS price list.</t>
        </is>
      </c>
    </row>
    <row r="78">
      <c r="A78" s="19" t="inlineStr">
        <is>
          <t>rc_2</t>
        </is>
      </c>
      <c r="B78" s="3" t="inlineStr">
        <is>
          <t>2 lb (boxed fountain, 10x10x8 = 800 cu in, actual weight billed)</t>
        </is>
      </c>
      <c r="C78" s="3" t="inlineStr">
        <is>
          <t>$/parcel</t>
        </is>
      </c>
      <c r="D78" s="22" t="n">
        <v>8.48</v>
      </c>
      <c r="E78" s="22" t="n">
        <v>10.5</v>
      </c>
      <c r="F78" s="22" t="n">
        <v>13.42</v>
      </c>
      <c r="G78" s="14" t="inlineStr">
        <is>
          <t>n/a</t>
        </is>
      </c>
      <c r="H78" s="3" t="inlineStr">
        <is>
          <t>VENDOR</t>
        </is>
      </c>
      <c r="I78" s="3" t="inlineStr">
        <is>
          <t>Below 1,728 cu in so USPS bills actual weight.</t>
        </is>
      </c>
    </row>
    <row r="79">
      <c r="A79" s="19" t="inlineStr">
        <is>
          <t>rc_3</t>
        </is>
      </c>
      <c r="B79" s="3" t="inlineStr">
        <is>
          <t>3 lb (fountain + mat; espresso kit)</t>
        </is>
      </c>
      <c r="C79" s="3" t="inlineStr">
        <is>
          <t>$/parcel</t>
        </is>
      </c>
      <c r="D79" s="22" t="n">
        <v>9.06</v>
      </c>
      <c r="E79" s="22" t="n">
        <v>12.12</v>
      </c>
      <c r="F79" s="22" t="n">
        <v>16.3</v>
      </c>
      <c r="G79" s="14" t="inlineStr">
        <is>
          <t>n/a</t>
        </is>
      </c>
      <c r="H79" s="3" t="inlineStr">
        <is>
          <t>VENDOR</t>
        </is>
      </c>
      <c r="I79" s="3" t="inlineStr">
        <is>
          <t>Official USPS price list.</t>
        </is>
      </c>
    </row>
    <row r="80">
      <c r="A80" s="5" t="n"/>
      <c r="B80" s="4" t="inlineStr">
        <is>
          <t>G. Shipping per order (scenario): Pess = avg of Zone 5 &amp; 8; Base = Zone 5; Opt = Zone 5 after 8% surcharge expiry</t>
        </is>
      </c>
      <c r="C80" s="5" t="n"/>
      <c r="D80" s="5" t="n"/>
      <c r="E80" s="5" t="n"/>
      <c r="F80" s="5" t="n"/>
      <c r="G80" s="5" t="n"/>
      <c r="H80" s="5" t="n"/>
      <c r="I80" s="5" t="n"/>
    </row>
    <row r="81">
      <c r="A81" s="19" t="inlineStr">
        <is>
          <t>usps_surcharge</t>
        </is>
      </c>
      <c r="B81" s="3" t="inlineStr">
        <is>
          <t>USPS temporary surcharge in current rates</t>
        </is>
      </c>
      <c r="C81" s="3" t="inlineStr">
        <is>
          <t>%</t>
        </is>
      </c>
      <c r="D81" s="24" t="n">
        <v>0.08</v>
      </c>
      <c r="E81" s="24" t="n">
        <v>0.08</v>
      </c>
      <c r="F81" s="24" t="n">
        <v>0.08</v>
      </c>
      <c r="G81" s="25">
        <f>CHOOSE($D$3,D81,E81,F81)</f>
        <v>0.08</v>
      </c>
      <c r="H81" s="3" t="inlineStr">
        <is>
          <t>SECONDHAND</t>
        </is>
      </c>
      <c r="I81" s="3" t="inlineStr">
        <is>
          <t>8% Apr 26 2026 - Jan 17 2027 (https://www.ship.com/post/usps-rate-changes-july-2026). Base/pess keep it (a Jan 2027 GRI may offset expiry).</t>
        </is>
      </c>
    </row>
    <row r="82">
      <c r="A82" s="19" t="inlineStr">
        <is>
          <t>below_comm</t>
        </is>
      </c>
      <c r="B82" s="3" t="inlineStr">
        <is>
          <t>Below-commercial (ounce-tier) discount on &lt;=8 oz parcels</t>
        </is>
      </c>
      <c r="C82" s="3" t="inlineStr">
        <is>
          <t>%</t>
        </is>
      </c>
      <c r="D82" s="24" t="n">
        <v>0</v>
      </c>
      <c r="E82" s="24" t="n">
        <v>0</v>
      </c>
      <c r="F82" s="24" t="n">
        <v>0.15</v>
      </c>
      <c r="G82" s="25">
        <f>CHOOSE($D$3,D82,E82,F82)</f>
        <v>0.0</v>
      </c>
      <c r="H82" s="16" t="inlineStr">
        <is>
          <t>ASSUMPTION</t>
        </is>
      </c>
      <c r="I82" s="3" t="inlineStr">
        <is>
          <t>Pirate Ship/Shopify keep ounce tiers below Notice 123 commercial (https://support.pirateship.com/en/articles/15453569-july-2026-usps-rate-and-rule-changes); cells not retrievable, so base uses commercial as ceiling.</t>
        </is>
      </c>
    </row>
    <row r="83">
      <c r="A83" s="19" t="inlineStr">
        <is>
          <t>post_fountain</t>
        </is>
      </c>
      <c r="B83" s="3" t="inlineStr">
        <is>
          <t>Postage: fountain order (2 lb)</t>
        </is>
      </c>
      <c r="C83" s="3" t="inlineStr">
        <is>
          <t>$/order</t>
        </is>
      </c>
      <c r="D83" s="26">
        <f>AVERAGE(E78,F78)</f>
        <v>11.96</v>
      </c>
      <c r="E83" s="26">
        <f>E78</f>
        <v>10.5</v>
      </c>
      <c r="F83" s="26">
        <f>E78/(1+F81)</f>
        <v>9.722222222222221</v>
      </c>
      <c r="G83" s="23">
        <f>CHOOSE($D$3,D83,E83,F83)</f>
        <v>10.5</v>
      </c>
      <c r="H83" s="3" t="inlineStr">
        <is>
          <t>ESTIMATE</t>
        </is>
      </c>
      <c r="I83" s="3" t="inlineStr">
        <is>
          <t>From rate card (formula).</t>
        </is>
      </c>
    </row>
    <row r="84">
      <c r="A84" s="19" t="inlineStr">
        <is>
          <t>post_bundle</t>
        </is>
      </c>
      <c r="B84" s="3" t="inlineStr">
        <is>
          <t>Postage: fountain + litter mat bundle (3 lb)</t>
        </is>
      </c>
      <c r="C84" s="3" t="inlineStr">
        <is>
          <t>$/order</t>
        </is>
      </c>
      <c r="D84" s="26">
        <f>AVERAGE(E79,F79)</f>
        <v>14.21</v>
      </c>
      <c r="E84" s="26">
        <f>E79</f>
        <v>12.12</v>
      </c>
      <c r="F84" s="26">
        <f>E79/(1+F81)</f>
        <v>11.222222222222221</v>
      </c>
      <c r="G84" s="23">
        <f>CHOOSE($D$3,D84,E84,F84)</f>
        <v>12.12</v>
      </c>
      <c r="H84" s="3" t="inlineStr">
        <is>
          <t>ESTIMATE</t>
        </is>
      </c>
      <c r="I84" s="3" t="inlineStr">
        <is>
          <t>From rate card (formula).</t>
        </is>
      </c>
    </row>
    <row r="85">
      <c r="A85" s="19" t="inlineStr">
        <is>
          <t>post_filter</t>
        </is>
      </c>
      <c r="B85" s="3" t="inlineStr">
        <is>
          <t>Postage: filter 6-pack mailer (&lt;=8 oz)</t>
        </is>
      </c>
      <c r="C85" s="3" t="inlineStr">
        <is>
          <t>$/order</t>
        </is>
      </c>
      <c r="D85" s="26">
        <f>AVERAGE(E76,F76)*(1-D82)</f>
        <v>8.594999999999999</v>
      </c>
      <c r="E85" s="26">
        <f>E76*(1-E82)</f>
        <v>8.24</v>
      </c>
      <c r="F85" s="26">
        <f>E76/(1+F81)*(1-F82)</f>
        <v>6.485185185185185</v>
      </c>
      <c r="G85" s="23">
        <f>CHOOSE($D$3,D85,E85,F85)</f>
        <v>8.24</v>
      </c>
      <c r="H85" s="3" t="inlineStr">
        <is>
          <t>ESTIMATE</t>
        </is>
      </c>
      <c r="I85" s="3" t="inlineStr">
        <is>
          <t>From rate card x (1 - below-commercial discount).</t>
        </is>
      </c>
    </row>
    <row r="86">
      <c r="A86" s="19" t="inlineStr">
        <is>
          <t>post_kit</t>
        </is>
      </c>
      <c r="B86" s="3" t="inlineStr">
        <is>
          <t>Postage: espresso kit (3 lb)</t>
        </is>
      </c>
      <c r="C86" s="3" t="inlineStr">
        <is>
          <t>$/order</t>
        </is>
      </c>
      <c r="D86" s="26">
        <f>AVERAGE(E79,F79)</f>
        <v>14.21</v>
      </c>
      <c r="E86" s="26">
        <f>E79</f>
        <v>12.12</v>
      </c>
      <c r="F86" s="26">
        <f>E79/(1+F81)</f>
        <v>11.222222222222221</v>
      </c>
      <c r="G86" s="23">
        <f>CHOOSE($D$3,D86,E86,F86)</f>
        <v>12.12</v>
      </c>
      <c r="H86" s="3" t="inlineStr">
        <is>
          <t>ESTIMATE</t>
        </is>
      </c>
      <c r="I86" s="3" t="inlineStr">
        <is>
          <t>Portafilter + tamper + tools ~1.2 kg packed (ASSUMPTION on weight).</t>
        </is>
      </c>
    </row>
    <row r="87">
      <c r="A87" s="5" t="n"/>
      <c r="B87" s="4" t="inlineStr">
        <is>
          <t>H. 3PL fulfillment (private-label stage)</t>
        </is>
      </c>
      <c r="C87" s="5" t="n"/>
      <c r="D87" s="5" t="n"/>
      <c r="E87" s="5" t="n"/>
      <c r="F87" s="5" t="n"/>
      <c r="G87" s="5" t="n"/>
      <c r="H87" s="5" t="n"/>
      <c r="I87" s="5" t="n"/>
    </row>
    <row r="88">
      <c r="A88" s="19" t="inlineStr">
        <is>
          <t>pick_first</t>
        </is>
      </c>
      <c r="B88" s="3" t="inlineStr">
        <is>
          <t>Pick/pack, first item</t>
        </is>
      </c>
      <c r="C88" s="3" t="inlineStr">
        <is>
          <t>$/order</t>
        </is>
      </c>
      <c r="D88" s="22" t="n">
        <v>3.25</v>
      </c>
      <c r="E88" s="22" t="n">
        <v>3</v>
      </c>
      <c r="F88" s="22" t="n">
        <v>2</v>
      </c>
      <c r="G88" s="23">
        <f>CHOOSE($D$3,D88,E88,F88)</f>
        <v>3.0</v>
      </c>
      <c r="H88" s="3" t="inlineStr">
        <is>
          <t>SECONDHAND</t>
        </is>
      </c>
      <c r="I88" s="3" t="inlineStr">
        <is>
          <t>Fulfill.com 2026: $2-$3 typical, survey avg $3.20, card median ~$2.00 (https://fulfill.com/3pl-pricing). CP3 used $3.25 (Fulfyld).</t>
        </is>
      </c>
    </row>
    <row r="89">
      <c r="A89" s="19" t="inlineStr">
        <is>
          <t>pick_add</t>
        </is>
      </c>
      <c r="B89" s="3" t="inlineStr">
        <is>
          <t>Pick, each additional item</t>
        </is>
      </c>
      <c r="C89" s="3" t="inlineStr">
        <is>
          <t>$/item</t>
        </is>
      </c>
      <c r="D89" s="22" t="n">
        <v>0.75</v>
      </c>
      <c r="E89" s="22" t="n">
        <v>0.5</v>
      </c>
      <c r="F89" s="22" t="n">
        <v>0.4</v>
      </c>
      <c r="G89" s="23">
        <f>CHOOSE($D$3,D89,E89,F89)</f>
        <v>0.5</v>
      </c>
      <c r="H89" s="3" t="inlineStr">
        <is>
          <t>SECONDHAND</t>
        </is>
      </c>
      <c r="I89" s="3" t="inlineStr">
        <is>
          <t>Fulfill.com $0.30-$0.75, avg $0.48.</t>
        </is>
      </c>
    </row>
    <row r="90">
      <c r="A90" s="19" t="inlineStr">
        <is>
          <t>carton</t>
        </is>
      </c>
      <c r="B90" s="3" t="inlineStr">
        <is>
          <t>Shipping carton for fountain / kit</t>
        </is>
      </c>
      <c r="C90" s="3" t="inlineStr">
        <is>
          <t>$/order</t>
        </is>
      </c>
      <c r="D90" s="22" t="n">
        <v>1.5</v>
      </c>
      <c r="E90" s="22" t="n">
        <v>1.25</v>
      </c>
      <c r="F90" s="22" t="n">
        <v>1</v>
      </c>
      <c r="G90" s="23">
        <f>CHOOSE($D$3,D90,E90,F90)</f>
        <v>1.25</v>
      </c>
      <c r="H90" s="16" t="inlineStr">
        <is>
          <t>ASSUMPTION</t>
        </is>
      </c>
      <c r="I90" s="3" t="inlineStr">
        <is>
          <t>cost_inputs.md Q2: $1.00-$1.50 if 3PL supplies 10x10x8.</t>
        </is>
      </c>
    </row>
    <row r="91">
      <c r="A91" s="19" t="inlineStr">
        <is>
          <t>mailer</t>
        </is>
      </c>
      <c r="B91" s="3" t="inlineStr">
        <is>
          <t>Poly mailer for filter pack</t>
        </is>
      </c>
      <c r="C91" s="3" t="inlineStr">
        <is>
          <t>$/order</t>
        </is>
      </c>
      <c r="D91" s="22" t="n">
        <v>0.75</v>
      </c>
      <c r="E91" s="22" t="n">
        <v>0.5</v>
      </c>
      <c r="F91" s="22" t="n">
        <v>0.35</v>
      </c>
      <c r="G91" s="23">
        <f>CHOOSE($D$3,D91,E91,F91)</f>
        <v>0.5</v>
      </c>
      <c r="H91" s="16" t="inlineStr">
        <is>
          <t>ASSUMPTION</t>
        </is>
      </c>
      <c r="I91" s="3" t="inlineStr">
        <is>
          <t>cost_inputs.md Q2: $0.35-$0.75.</t>
        </is>
      </c>
    </row>
    <row r="92">
      <c r="A92" s="19" t="inlineStr">
        <is>
          <t>tpl_uplift</t>
        </is>
      </c>
      <c r="B92" s="3" t="inlineStr">
        <is>
          <t>3PL hidden-fee uplift on pick/pack</t>
        </is>
      </c>
      <c r="C92" s="3" t="inlineStr">
        <is>
          <t>%</t>
        </is>
      </c>
      <c r="D92" s="24" t="n">
        <v>0.35</v>
      </c>
      <c r="E92" s="24" t="n">
        <v>0.2</v>
      </c>
      <c r="F92" s="24" t="n">
        <v>0.1</v>
      </c>
      <c r="G92" s="25">
        <f>CHOOSE($D$3,D92,E92,F92)</f>
        <v>0.2</v>
      </c>
      <c r="H92" s="3" t="inlineStr">
        <is>
          <t>SECONDHAND</t>
        </is>
      </c>
      <c r="I92" s="3" t="inlineStr">
        <is>
          <t>Eightx: invoices run 20-50% above quoted (https://eightx.co/blog/3pl-all-in-cost-per-order).</t>
        </is>
      </c>
    </row>
    <row r="93">
      <c r="A93" s="19" t="inlineStr">
        <is>
          <t>return_proc</t>
        </is>
      </c>
      <c r="B93" s="3" t="inlineStr">
        <is>
          <t>3PL returns processing</t>
        </is>
      </c>
      <c r="C93" s="3" t="inlineStr">
        <is>
          <t>$/return</t>
        </is>
      </c>
      <c r="D93" s="22" t="n">
        <v>7</v>
      </c>
      <c r="E93" s="22" t="n">
        <v>4.06</v>
      </c>
      <c r="F93" s="22" t="n">
        <v>1</v>
      </c>
      <c r="G93" s="23">
        <f>CHOOSE($D$3,D93,E93,F93)</f>
        <v>4.06</v>
      </c>
      <c r="H93" s="3" t="inlineStr">
        <is>
          <t>SECONDHAND</t>
        </is>
      </c>
      <c r="I93" s="3" t="inlineStr">
        <is>
          <t>Fulfill.com $1-$7, avg $4.06.</t>
        </is>
      </c>
    </row>
    <row r="94">
      <c r="A94" s="19" t="inlineStr">
        <is>
          <t>storage_pallet</t>
        </is>
      </c>
      <c r="B94" s="3" t="inlineStr">
        <is>
          <t>Storage per pallet</t>
        </is>
      </c>
      <c r="C94" s="3" t="inlineStr">
        <is>
          <t>$/pallet/month</t>
        </is>
      </c>
      <c r="D94" s="22" t="n">
        <v>40</v>
      </c>
      <c r="E94" s="22" t="n">
        <v>25</v>
      </c>
      <c r="F94" s="22" t="n">
        <v>18</v>
      </c>
      <c r="G94" s="23">
        <f>CHOOSE($D$3,D94,E94,F94)</f>
        <v>25.0</v>
      </c>
      <c r="H94" s="3" t="inlineStr">
        <is>
          <t>SECONDHAND</t>
        </is>
      </c>
      <c r="I94" s="3" t="inlineStr">
        <is>
          <t>Fulfill.com $15-$40 (most $18-$25); Simpl $40.</t>
        </is>
      </c>
    </row>
    <row r="95">
      <c r="A95" s="19" t="inlineStr">
        <is>
          <t>pallets</t>
        </is>
      </c>
      <c r="B95" s="3" t="inlineStr">
        <is>
          <t>Pallets stored (fountains + filters)</t>
        </is>
      </c>
      <c r="C95" s="3" t="inlineStr">
        <is>
          <t>pallets</t>
        </is>
      </c>
      <c r="D95" s="20" t="n">
        <v>4</v>
      </c>
      <c r="E95" s="20" t="n">
        <v>3</v>
      </c>
      <c r="F95" s="20" t="n">
        <v>2</v>
      </c>
      <c r="G95" s="21">
        <f>CHOOSE($D$3,D95,E95,F95)</f>
        <v>3.0</v>
      </c>
      <c r="H95" s="3" t="inlineStr">
        <is>
          <t>ESTIMATE</t>
        </is>
      </c>
      <c r="I95" s="3" t="inlineStr">
        <is>
          <t>cost_inputs.md Q2: 500-1,000 fountains ~2-4 pallets; filters 1-2.</t>
        </is>
      </c>
    </row>
    <row r="96">
      <c r="A96" s="19" t="inlineStr">
        <is>
          <t>tpl_min</t>
        </is>
      </c>
      <c r="B96" s="3" t="inlineStr">
        <is>
          <t>3PL monthly minimum</t>
        </is>
      </c>
      <c r="C96" s="3" t="inlineStr">
        <is>
          <t>$/month</t>
        </is>
      </c>
      <c r="D96" s="29" t="n">
        <v>750</v>
      </c>
      <c r="E96" s="29" t="n">
        <v>500</v>
      </c>
      <c r="F96" s="29" t="n">
        <v>0</v>
      </c>
      <c r="G96" s="30">
        <f>CHOOSE($D$3,D96,E96,F96)</f>
        <v>500.0</v>
      </c>
      <c r="H96" s="3" t="inlineStr">
        <is>
          <t>SECONDHAND</t>
        </is>
      </c>
      <c r="I96" s="3" t="inlineStr">
        <is>
          <t>Survey avg $517; Simpl $750; no-minimum pet 3PLs exist (Fulfill.com; CP3 Sec.4).</t>
        </is>
      </c>
    </row>
    <row r="97">
      <c r="A97" s="19" t="inlineStr">
        <is>
          <t>receiving</t>
        </is>
      </c>
      <c r="B97" s="3" t="inlineStr">
        <is>
          <t>Receiving per pallet</t>
        </is>
      </c>
      <c r="C97" s="3" t="inlineStr">
        <is>
          <t>$/pallet</t>
        </is>
      </c>
      <c r="D97" s="22" t="n">
        <v>15</v>
      </c>
      <c r="E97" s="22" t="n">
        <v>10.52</v>
      </c>
      <c r="F97" s="22" t="n">
        <v>5</v>
      </c>
      <c r="G97" s="23">
        <f>CHOOSE($D$3,D97,E97,F97)</f>
        <v>10.52</v>
      </c>
      <c r="H97" s="3" t="inlineStr">
        <is>
          <t>SECONDHAND</t>
        </is>
      </c>
      <c r="I97" s="3" t="inlineStr">
        <is>
          <t>Fulfill.com $5-$15, avg $10.52.</t>
        </is>
      </c>
    </row>
    <row r="98">
      <c r="A98" s="19" t="inlineStr">
        <is>
          <t>tpl_setup</t>
        </is>
      </c>
      <c r="B98" s="3" t="inlineStr">
        <is>
          <t>3PL setup + integration (one-time)</t>
        </is>
      </c>
      <c r="C98" s="3" t="inlineStr">
        <is>
          <t>$ one-time</t>
        </is>
      </c>
      <c r="D98" s="29" t="n">
        <v>1000</v>
      </c>
      <c r="E98" s="29" t="n">
        <v>608</v>
      </c>
      <c r="F98" s="29" t="n">
        <v>0</v>
      </c>
      <c r="G98" s="30">
        <f>CHOOSE($D$3,D98,E98,F98)</f>
        <v>608.0</v>
      </c>
      <c r="H98" s="3" t="inlineStr">
        <is>
          <t>SECONDHAND</t>
        </is>
      </c>
      <c r="I98" s="3" t="inlineStr">
        <is>
          <t>Setup avg $333 + integration $275 (Fulfill.com).</t>
        </is>
      </c>
    </row>
    <row r="99">
      <c r="A99" s="5" t="n"/>
      <c r="B99" s="4" t="inlineStr">
        <is>
          <t>I. Payments, returns, defects and chargebacks</t>
        </is>
      </c>
      <c r="C99" s="5" t="n"/>
      <c r="D99" s="5" t="n"/>
      <c r="E99" s="5" t="n"/>
      <c r="F99" s="5" t="n"/>
      <c r="G99" s="5" t="n"/>
      <c r="H99" s="5" t="n"/>
      <c r="I99" s="5" t="n"/>
    </row>
    <row r="100">
      <c r="A100" s="19" t="inlineStr">
        <is>
          <t>pay_pct</t>
        </is>
      </c>
      <c r="B100" s="3" t="inlineStr">
        <is>
          <t>Shopify Payments rate (Basic)</t>
        </is>
      </c>
      <c r="C100" s="3" t="inlineStr">
        <is>
          <t>% of order</t>
        </is>
      </c>
      <c r="D100" s="24" t="n">
        <v>0.029</v>
      </c>
      <c r="E100" s="24" t="n">
        <v>0.029</v>
      </c>
      <c r="F100" s="24" t="n">
        <v>0.029</v>
      </c>
      <c r="G100" s="25">
        <f>CHOOSE($D$3,D100,E100,F100)</f>
        <v>0.029</v>
      </c>
      <c r="H100" s="3" t="inlineStr">
        <is>
          <t>VENDOR</t>
        </is>
      </c>
      <c r="I100" s="3" t="inlineStr">
        <is>
          <t>2.9% + 30c online (https://www.nerdwallet.com/article/small-business/shopify-pricing).</t>
        </is>
      </c>
    </row>
    <row r="101">
      <c r="A101" s="19" t="inlineStr">
        <is>
          <t>pay_fixed</t>
        </is>
      </c>
      <c r="B101" s="3" t="inlineStr">
        <is>
          <t>Shopify Payments fixed fee</t>
        </is>
      </c>
      <c r="C101" s="3" t="inlineStr">
        <is>
          <t>$/order</t>
        </is>
      </c>
      <c r="D101" s="22" t="n">
        <v>0.3</v>
      </c>
      <c r="E101" s="22" t="n">
        <v>0.3</v>
      </c>
      <c r="F101" s="22" t="n">
        <v>0.3</v>
      </c>
      <c r="G101" s="23">
        <f>CHOOSE($D$3,D101,E101,F101)</f>
        <v>0.3</v>
      </c>
      <c r="H101" s="3" t="inlineStr">
        <is>
          <t>VENDOR</t>
        </is>
      </c>
      <c r="I101" s="3" t="inlineStr">
        <is>
          <t>As above.</t>
        </is>
      </c>
    </row>
    <row r="102">
      <c r="A102" s="19" t="inlineStr">
        <is>
          <t>refund_fountain</t>
        </is>
      </c>
      <c r="B102" s="3" t="inlineStr">
        <is>
          <t>Fountain refund / return rate</t>
        </is>
      </c>
      <c r="C102" s="3" t="inlineStr">
        <is>
          <t>% of fountain revenue</t>
        </is>
      </c>
      <c r="D102" s="24" t="n">
        <v>0.08</v>
      </c>
      <c r="E102" s="24" t="n">
        <v>0.05</v>
      </c>
      <c r="F102" s="24" t="n">
        <v>0.03</v>
      </c>
      <c r="G102" s="25">
        <f>CHOOSE($D$3,D102,E102,F102)</f>
        <v>0.05</v>
      </c>
      <c r="H102" s="16" t="inlineStr">
        <is>
          <t>ASSUMPTION</t>
        </is>
      </c>
      <c r="I102" s="3" t="inlineStr">
        <is>
          <t>No US category data; pet supplies 1.2% (Galaxus), pet 8% / appliances 8% (Statista via TrackingMore). Returned units non-resaleable.</t>
        </is>
      </c>
    </row>
    <row r="103">
      <c r="A103" s="19" t="inlineStr">
        <is>
          <t>replace_fountain</t>
        </is>
      </c>
      <c r="B103" s="3" t="inlineStr">
        <is>
          <t>Fountain warranty replacement rate (pump failure)</t>
        </is>
      </c>
      <c r="C103" s="3" t="inlineStr">
        <is>
          <t>% of units</t>
        </is>
      </c>
      <c r="D103" s="24" t="n">
        <v>0.05</v>
      </c>
      <c r="E103" s="24" t="n">
        <v>0.03</v>
      </c>
      <c r="F103" s="24" t="n">
        <v>0.015</v>
      </c>
      <c r="G103" s="25">
        <f>CHOOSE($D$3,D103,E103,F103)</f>
        <v>0.03</v>
      </c>
      <c r="H103" s="16" t="inlineStr">
        <is>
          <t>ASSUMPTION</t>
        </is>
      </c>
      <c r="I103" s="3" t="inlineStr">
        <is>
          <t>Pump failure is the dominant complaint (https://kimola.com/reports/comprehensive-cat-water-fountain-feedback-analysis-amazon-en-us-143234). Full-unit re-ship (conservative).</t>
        </is>
      </c>
    </row>
    <row r="104">
      <c r="A104" s="19" t="inlineStr">
        <is>
          <t>refund_filter</t>
        </is>
      </c>
      <c r="B104" s="3" t="inlineStr">
        <is>
          <t>Filter / mat refund rate</t>
        </is>
      </c>
      <c r="C104" s="3" t="inlineStr">
        <is>
          <t>% of revenue</t>
        </is>
      </c>
      <c r="D104" s="24" t="n">
        <v>0.02</v>
      </c>
      <c r="E104" s="24" t="n">
        <v>0.01</v>
      </c>
      <c r="F104" s="24" t="n">
        <v>0.005</v>
      </c>
      <c r="G104" s="25">
        <f>CHOOSE($D$3,D104,E104,F104)</f>
        <v>0.01</v>
      </c>
      <c r="H104" s="16" t="inlineStr">
        <is>
          <t>ASSUMPTION</t>
        </is>
      </c>
      <c r="I104" s="3" t="inlineStr">
        <is>
          <t>Consumables low-return (acquisition_retention.md Q5).</t>
        </is>
      </c>
    </row>
    <row r="105">
      <c r="A105" s="19" t="inlineStr">
        <is>
          <t>refund_kit</t>
        </is>
      </c>
      <c r="B105" s="3" t="inlineStr">
        <is>
          <t>Espresso kit refund rate (fit issues EC680/685/885)</t>
        </is>
      </c>
      <c r="C105" s="3" t="inlineStr">
        <is>
          <t>% of kit revenue</t>
        </is>
      </c>
      <c r="D105" s="24" t="n">
        <v>0.12</v>
      </c>
      <c r="E105" s="24" t="n">
        <v>0.07000000000000001</v>
      </c>
      <c r="F105" s="24" t="n">
        <v>0.04</v>
      </c>
      <c r="G105" s="25">
        <f>CHOOSE($D$3,D105,E105,F105)</f>
        <v>0.07</v>
      </c>
      <c r="H105" s="16" t="inlineStr">
        <is>
          <t>ASSUMPTION</t>
        </is>
      </c>
      <c r="I105" s="3" t="inlineStr">
        <is>
          <t>acquisition_retention.md Q5.</t>
        </is>
      </c>
    </row>
    <row r="106">
      <c r="A106" s="19" t="inlineStr">
        <is>
          <t>replace_kit</t>
        </is>
      </c>
      <c r="B106" s="3" t="inlineStr">
        <is>
          <t>Espresso kit replacement / exchange rate</t>
        </is>
      </c>
      <c r="C106" s="3" t="inlineStr">
        <is>
          <t>% of kits</t>
        </is>
      </c>
      <c r="D106" s="24" t="n">
        <v>0.03</v>
      </c>
      <c r="E106" s="24" t="n">
        <v>0.02</v>
      </c>
      <c r="F106" s="24" t="n">
        <v>0.01</v>
      </c>
      <c r="G106" s="25">
        <f>CHOOSE($D$3,D106,E106,F106)</f>
        <v>0.02</v>
      </c>
      <c r="H106" s="16" t="inlineStr">
        <is>
          <t>ASSUMPTION</t>
        </is>
      </c>
      <c r="I106" s="3" t="inlineStr">
        <is>
          <t>Wrong-ear / wrong-size exchanges.</t>
        </is>
      </c>
    </row>
    <row r="107">
      <c r="A107" s="19" t="inlineStr">
        <is>
          <t>refund_beans</t>
        </is>
      </c>
      <c r="B107" s="3" t="inlineStr">
        <is>
          <t>Bean refund rate</t>
        </is>
      </c>
      <c r="C107" s="3" t="inlineStr">
        <is>
          <t>% of revenue</t>
        </is>
      </c>
      <c r="D107" s="24" t="n">
        <v>0.02</v>
      </c>
      <c r="E107" s="24" t="n">
        <v>0.01</v>
      </c>
      <c r="F107" s="24" t="n">
        <v>0.005</v>
      </c>
      <c r="G107" s="25">
        <f>CHOOSE($D$3,D107,E107,F107)</f>
        <v>0.01</v>
      </c>
      <c r="H107" s="16" t="inlineStr">
        <is>
          <t>ASSUMPTION</t>
        </is>
      </c>
      <c r="I107" s="3" t="inlineStr">
        <is>
          <t>Consumable.</t>
        </is>
      </c>
    </row>
    <row r="108">
      <c r="A108" s="19" t="inlineStr">
        <is>
          <t>cb_rate</t>
        </is>
      </c>
      <c r="B108" s="3" t="inlineStr">
        <is>
          <t>Chargeback rate</t>
        </is>
      </c>
      <c r="C108" s="3" t="inlineStr">
        <is>
          <t>% of orders</t>
        </is>
      </c>
      <c r="D108" s="24" t="n">
        <v>0.006</v>
      </c>
      <c r="E108" s="24" t="n">
        <v>0.003</v>
      </c>
      <c r="F108" s="24" t="n">
        <v>0.0015</v>
      </c>
      <c r="G108" s="25">
        <f>CHOOSE($D$3,D108,E108,F108)</f>
        <v>0.003</v>
      </c>
      <c r="H108" s="16" t="inlineStr">
        <is>
          <t>ASSUMPTION</t>
        </is>
      </c>
      <c r="I108" s="3" t="inlineStr">
        <is>
          <t>All-industry ~0.26% (Sift, secondhand); 'typical' ~0.60% (https://www.chargeback.io/es/blog/average-e-commerce-chargeback-rate).</t>
        </is>
      </c>
    </row>
    <row r="109">
      <c r="A109" s="19" t="inlineStr">
        <is>
          <t>cb_fee</t>
        </is>
      </c>
      <c r="B109" s="3" t="inlineStr">
        <is>
          <t>Chargeback fee (plus order value lost)</t>
        </is>
      </c>
      <c r="C109" s="3" t="inlineStr">
        <is>
          <t>$/dispute</t>
        </is>
      </c>
      <c r="D109" s="22" t="n">
        <v>15</v>
      </c>
      <c r="E109" s="22" t="n">
        <v>15</v>
      </c>
      <c r="F109" s="22" t="n">
        <v>15</v>
      </c>
      <c r="G109" s="23">
        <f>CHOOSE($D$3,D109,E109,F109)</f>
        <v>15.0</v>
      </c>
      <c r="H109" s="3" t="inlineStr">
        <is>
          <t>VENDOR</t>
        </is>
      </c>
      <c r="I109" s="3" t="inlineStr">
        <is>
          <t>$15 per US Shopify dispute (chargeback.io, vendor claim).</t>
        </is>
      </c>
    </row>
    <row r="110">
      <c r="A110" s="5" t="n"/>
      <c r="B110" s="4" t="inlineStr">
        <is>
          <t>J. Acquisition and marketing</t>
        </is>
      </c>
      <c r="C110" s="5" t="n"/>
      <c r="D110" s="5" t="n"/>
      <c r="E110" s="5" t="n"/>
      <c r="F110" s="5" t="n"/>
      <c r="G110" s="5" t="n"/>
      <c r="H110" s="5" t="n"/>
      <c r="I110" s="5" t="n"/>
    </row>
    <row r="111">
      <c r="A111" s="19" t="inlineStr">
        <is>
          <t>cpa_m13</t>
        </is>
      </c>
      <c r="B111" s="3" t="inlineStr">
        <is>
          <t>Cat paid CPA, months 1-3 (new pixel)</t>
        </is>
      </c>
      <c r="C111" s="3" t="inlineStr">
        <is>
          <t>$/new customer</t>
        </is>
      </c>
      <c r="D111" s="22" t="n">
        <v>90</v>
      </c>
      <c r="E111" s="22" t="n">
        <v>60</v>
      </c>
      <c r="F111" s="22" t="n">
        <v>40</v>
      </c>
      <c r="G111" s="23">
        <f>CHOOSE($D$3,D111,E111,F111)</f>
        <v>60.0</v>
      </c>
      <c r="H111" s="16" t="inlineStr">
        <is>
          <t>ASSUMPTION</t>
        </is>
      </c>
      <c r="I111" s="3" t="inlineStr">
        <is>
          <t>acquisition_retention.md Q1 (capped). Triple Whale Meta Pets median CPA $38.51 for established brands (SECONDHAND, https://www.digitalapplied.com/blog/facebook-ads-benchmarks-2026-cpc-cpm-ctr-industry).</t>
        </is>
      </c>
    </row>
    <row r="112">
      <c r="A112" s="19" t="inlineStr">
        <is>
          <t>cpa_m412</t>
        </is>
      </c>
      <c r="B112" s="3" t="inlineStr">
        <is>
          <t>Cat paid CPA, months 4-12 (after learning)</t>
        </is>
      </c>
      <c r="C112" s="3" t="inlineStr">
        <is>
          <t>$/new customer</t>
        </is>
      </c>
      <c r="D112" s="22" t="n">
        <v>65</v>
      </c>
      <c r="E112" s="22" t="n">
        <v>45</v>
      </c>
      <c r="F112" s="22" t="n">
        <v>32</v>
      </c>
      <c r="G112" s="23">
        <f>CHOOSE($D$3,D112,E112,F112)</f>
        <v>45.0</v>
      </c>
      <c r="H112" s="16" t="inlineStr">
        <is>
          <t>ASSUMPTION</t>
        </is>
      </c>
      <c r="I112" s="3" t="inlineStr">
        <is>
          <t>As above.</t>
        </is>
      </c>
    </row>
    <row r="113">
      <c r="A113" s="19" t="inlineStr">
        <is>
          <t>cpa_esp_m13</t>
        </is>
      </c>
      <c r="B113" s="3" t="inlineStr">
        <is>
          <t>Espresso paid CPA, months 1-3</t>
        </is>
      </c>
      <c r="C113" s="3" t="inlineStr">
        <is>
          <t>$/new customer</t>
        </is>
      </c>
      <c r="D113" s="22" t="n">
        <v>85</v>
      </c>
      <c r="E113" s="22" t="n">
        <v>60</v>
      </c>
      <c r="F113" s="22" t="n">
        <v>40</v>
      </c>
      <c r="G113" s="23">
        <f>CHOOSE($D$3,D113,E113,F113)</f>
        <v>60.0</v>
      </c>
      <c r="H113" s="16" t="inlineStr">
        <is>
          <t>ASSUMPTION</t>
        </is>
      </c>
      <c r="I113" s="3" t="inlineStr">
        <is>
          <t>Anchored on Triple Whale Home &amp; Garden CPA $47.93; narrow Dedica targeting (acquisition_retention.md Q1).</t>
        </is>
      </c>
    </row>
    <row r="114">
      <c r="A114" s="19" t="inlineStr">
        <is>
          <t>cpa_esp_m412</t>
        </is>
      </c>
      <c r="B114" s="3" t="inlineStr">
        <is>
          <t>Espresso paid CPA, months 4-12</t>
        </is>
      </c>
      <c r="C114" s="3" t="inlineStr">
        <is>
          <t>$/new customer</t>
        </is>
      </c>
      <c r="D114" s="22" t="n">
        <v>64</v>
      </c>
      <c r="E114" s="22" t="n">
        <v>45</v>
      </c>
      <c r="F114" s="22" t="n">
        <v>30</v>
      </c>
      <c r="G114" s="23">
        <f>CHOOSE($D$3,D114,E114,F114)</f>
        <v>45.0</v>
      </c>
      <c r="H114" s="16" t="inlineStr">
        <is>
          <t>ASSUMPTION</t>
        </is>
      </c>
      <c r="I114" s="3" t="inlineStr">
        <is>
          <t>Analyst: same ~25% learning improvement as cat (no source).</t>
        </is>
      </c>
    </row>
    <row r="115">
      <c r="A115" s="19" t="inlineStr">
        <is>
          <t>cpm</t>
        </is>
      </c>
      <c r="B115" s="3" t="inlineStr">
        <is>
          <t>Meta prospecting CPM (new store, non-Q4)</t>
        </is>
      </c>
      <c r="C115" s="3" t="inlineStr">
        <is>
          <t>$/1,000</t>
        </is>
      </c>
      <c r="D115" s="22" t="n">
        <v>24</v>
      </c>
      <c r="E115" s="22" t="n">
        <v>18</v>
      </c>
      <c r="F115" s="22" t="n">
        <v>14</v>
      </c>
      <c r="G115" s="23">
        <f>CHOOSE($D$3,D115,E115,F115)</f>
        <v>18.0</v>
      </c>
      <c r="H115" s="16" t="inlineStr">
        <is>
          <t>ASSUMPTION</t>
        </is>
      </c>
      <c r="I115" s="3" t="inlineStr">
        <is>
          <t>acquisition_retention.md Q1; TW Pets median $16.27.</t>
        </is>
      </c>
    </row>
    <row r="116">
      <c r="A116" s="19" t="inlineStr">
        <is>
          <t>ctr</t>
        </is>
      </c>
      <c r="B116" s="3" t="inlineStr">
        <is>
          <t>Link CTR</t>
        </is>
      </c>
      <c r="C116" s="3" t="inlineStr">
        <is>
          <t>%</t>
        </is>
      </c>
      <c r="D116" s="24" t="n">
        <v>0.008</v>
      </c>
      <c r="E116" s="24" t="n">
        <v>0.011</v>
      </c>
      <c r="F116" s="24" t="n">
        <v>0.015</v>
      </c>
      <c r="G116" s="25">
        <f>CHOOSE($D$3,D116,E116,F116)</f>
        <v>0.011</v>
      </c>
      <c r="H116" s="16" t="inlineStr">
        <is>
          <t>ASSUMPTION</t>
        </is>
      </c>
      <c r="I116" s="3" t="inlineStr">
        <is>
          <t>acquisition_retention.md Q1.</t>
        </is>
      </c>
    </row>
    <row r="117">
      <c r="A117" s="19" t="inlineStr">
        <is>
          <t>cvr_cat</t>
        </is>
      </c>
      <c r="B117" s="3" t="inlineStr">
        <is>
          <t>Landing CVR, cold paid social - fountain</t>
        </is>
      </c>
      <c r="C117" s="3" t="inlineStr">
        <is>
          <t>%</t>
        </is>
      </c>
      <c r="D117" s="24" t="n">
        <v>0.008</v>
      </c>
      <c r="E117" s="24" t="n">
        <v>0.013</v>
      </c>
      <c r="F117" s="24" t="n">
        <v>0.02</v>
      </c>
      <c r="G117" s="25">
        <f>CHOOSE($D$3,D117,E117,F117)</f>
        <v>0.013</v>
      </c>
      <c r="H117" s="16" t="inlineStr">
        <is>
          <t>ASSUMPTION</t>
        </is>
      </c>
      <c r="I117" s="3" t="inlineStr">
        <is>
          <t>acquisition_retention.md Q2.</t>
        </is>
      </c>
    </row>
    <row r="118">
      <c r="A118" s="19" t="inlineStr">
        <is>
          <t>implied_cpa_cat</t>
        </is>
      </c>
      <c r="B118" s="3" t="inlineStr">
        <is>
          <t>Implied UNCAPPED cat CPA = CPM / 1000 / CTR / CVR (cross-check only)</t>
        </is>
      </c>
      <c r="C118" s="3" t="inlineStr">
        <is>
          <t>$/new customer</t>
        </is>
      </c>
      <c r="D118" s="26">
        <f>D115/1000/D116/D117</f>
        <v>375.0</v>
      </c>
      <c r="E118" s="26">
        <f>E115/1000/E116/E117</f>
        <v>125.87412587412587</v>
      </c>
      <c r="F118" s="26">
        <f>F115/1000/F116/F117</f>
        <v>46.666666666666664</v>
      </c>
      <c r="G118" s="23">
        <f>CHOOSE($D$3,D118,E118,F118)</f>
        <v>125.87412587412587</v>
      </c>
      <c r="H118" s="3" t="inlineStr">
        <is>
          <t>ESTIMATE</t>
        </is>
      </c>
      <c r="I118" s="3" t="inlineStr">
        <is>
          <t>Shows why CPA inputs are capped: compounding pessimistic funnel inputs gives ~$375.</t>
        </is>
      </c>
    </row>
    <row r="119">
      <c r="A119" s="19" t="inlineStr">
        <is>
          <t>cvr_esp</t>
        </is>
      </c>
      <c r="B119" s="3" t="inlineStr">
        <is>
          <t>Landing CVR, cold paid social - espresso kit</t>
        </is>
      </c>
      <c r="C119" s="3" t="inlineStr">
        <is>
          <t>%</t>
        </is>
      </c>
      <c r="D119" s="24" t="n">
        <v>0.006</v>
      </c>
      <c r="E119" s="24" t="n">
        <v>0.01</v>
      </c>
      <c r="F119" s="24" t="n">
        <v>0.016</v>
      </c>
      <c r="G119" s="25">
        <f>CHOOSE($D$3,D119,E119,F119)</f>
        <v>0.01</v>
      </c>
      <c r="H119" s="16" t="inlineStr">
        <is>
          <t>ASSUMPTION</t>
        </is>
      </c>
      <c r="I119" s="3" t="inlineStr">
        <is>
          <t>acquisition_retention.md Q2.</t>
        </is>
      </c>
    </row>
    <row r="120">
      <c r="A120" s="19" t="inlineStr">
        <is>
          <t>implied_cpa_esp</t>
        </is>
      </c>
      <c r="B120" s="3" t="inlineStr">
        <is>
          <t>Implied UNCAPPED espresso CPA (cat CPM/CTR) (cross-check only)</t>
        </is>
      </c>
      <c r="C120" s="3" t="inlineStr">
        <is>
          <t>$/new customer</t>
        </is>
      </c>
      <c r="D120" s="26">
        <f>D115/1000/D116/D119</f>
        <v>500.0</v>
      </c>
      <c r="E120" s="26">
        <f>E115/1000/E116/E119</f>
        <v>163.63636363636363</v>
      </c>
      <c r="F120" s="26">
        <f>F115/1000/F116/F119</f>
        <v>58.333333333333336</v>
      </c>
      <c r="G120" s="23">
        <f>CHOOSE($D$3,D120,E120,F120)</f>
        <v>163.63636363636363</v>
      </c>
      <c r="H120" s="3" t="inlineStr">
        <is>
          <t>ESTIMATE</t>
        </is>
      </c>
      <c r="I120" s="3" t="inlineStr">
        <is>
          <t>Cross-check only.</t>
        </is>
      </c>
    </row>
    <row r="121">
      <c r="A121" s="19" t="inlineStr">
        <is>
          <t>blended_cac</t>
        </is>
      </c>
      <c r="B121" s="3" t="inlineStr">
        <is>
          <t>Blended CAC factor (organic, affiliate, email first orders)</t>
        </is>
      </c>
      <c r="C121" s="3" t="inlineStr">
        <is>
          <t>x paid CAC</t>
        </is>
      </c>
      <c r="D121" s="9" t="n">
        <v>0.95</v>
      </c>
      <c r="E121" s="9" t="n">
        <v>0.85</v>
      </c>
      <c r="F121" s="9" t="n">
        <v>0.75</v>
      </c>
      <c r="G121" s="32">
        <f>CHOOSE($D$3,D121,E121,F121)</f>
        <v>0.85</v>
      </c>
      <c r="H121" s="16" t="inlineStr">
        <is>
          <t>ASSUMPTION</t>
        </is>
      </c>
      <c r="I121" s="3" t="inlineStr">
        <is>
          <t>acquisition_retention.md Q7 (year 1). Used only for an informational LTV:blended-CAC line.</t>
        </is>
      </c>
    </row>
    <row r="122">
      <c r="A122" s="19" t="inlineStr">
        <is>
          <t>aff_share</t>
        </is>
      </c>
      <c r="B122" s="3" t="inlineStr">
        <is>
          <t>Affiliate-attributed share of first-order revenue</t>
        </is>
      </c>
      <c r="C122" s="3" t="inlineStr">
        <is>
          <t>%</t>
        </is>
      </c>
      <c r="D122" s="24" t="n">
        <v>0.03</v>
      </c>
      <c r="E122" s="24" t="n">
        <v>0.06</v>
      </c>
      <c r="F122" s="24" t="n">
        <v>0.1</v>
      </c>
      <c r="G122" s="25">
        <f>CHOOSE($D$3,D122,E122,F122)</f>
        <v>0.06</v>
      </c>
      <c r="H122" s="16" t="inlineStr">
        <is>
          <t>ASSUMPTION</t>
        </is>
      </c>
      <c r="I122" s="3" t="inlineStr">
        <is>
          <t>acquisition_retention.md Q6.</t>
        </is>
      </c>
    </row>
    <row r="123">
      <c r="A123" s="19" t="inlineStr">
        <is>
          <t>aff_comm_cat</t>
        </is>
      </c>
      <c r="B123" s="3" t="inlineStr">
        <is>
          <t>Pet affiliate commission</t>
        </is>
      </c>
      <c r="C123" s="3" t="inlineStr">
        <is>
          <t>% of attributed revenue</t>
        </is>
      </c>
      <c r="D123" s="24" t="n">
        <v>0.2</v>
      </c>
      <c r="E123" s="24" t="n">
        <v>0.15</v>
      </c>
      <c r="F123" s="24" t="n">
        <v>0.1</v>
      </c>
      <c r="G123" s="25">
        <f>CHOOSE($D$3,D123,E123,F123)</f>
        <v>0.15</v>
      </c>
      <c r="H123" s="16" t="inlineStr">
        <is>
          <t>ASSUMPTION</t>
        </is>
      </c>
      <c r="I123" s="3" t="inlineStr">
        <is>
          <t>Petlibro 'up to 18%', 30-day cookie (https://ca.petlibro.com/pages/affiliate-program).</t>
        </is>
      </c>
    </row>
    <row r="124">
      <c r="A124" s="19" t="inlineStr">
        <is>
          <t>aff_comm_esp</t>
        </is>
      </c>
      <c r="B124" s="3" t="inlineStr">
        <is>
          <t>Coffee affiliate commission</t>
        </is>
      </c>
      <c r="C124" s="3" t="inlineStr">
        <is>
          <t>% of attributed revenue</t>
        </is>
      </c>
      <c r="D124" s="24" t="n">
        <v>0.12</v>
      </c>
      <c r="E124" s="24" t="n">
        <v>0.1</v>
      </c>
      <c r="F124" s="24" t="n">
        <v>0.08</v>
      </c>
      <c r="G124" s="25">
        <f>CHOOSE($D$3,D124,E124,F124)</f>
        <v>0.1</v>
      </c>
      <c r="H124" s="16" t="inlineStr">
        <is>
          <t>ASSUMPTION</t>
        </is>
      </c>
      <c r="I124" s="3" t="inlineStr">
        <is>
          <t>Coffee programs 7.7-10% (Link Whisper, UpPromote).</t>
        </is>
      </c>
    </row>
    <row r="125">
      <c r="A125" s="19" t="inlineStr">
        <is>
          <t>ugc_cost</t>
        </is>
      </c>
      <c r="B125" s="3" t="inlineStr">
        <is>
          <t>UGC video incl. 30-day paid-usage rights</t>
        </is>
      </c>
      <c r="C125" s="3" t="inlineStr">
        <is>
          <t>$/video</t>
        </is>
      </c>
      <c r="D125" s="29" t="n">
        <v>300</v>
      </c>
      <c r="E125" s="29" t="n">
        <v>200</v>
      </c>
      <c r="F125" s="29" t="n">
        <v>130</v>
      </c>
      <c r="G125" s="30">
        <f>CHOOSE($D$3,D125,E125,F125)</f>
        <v>200.0</v>
      </c>
      <c r="H125" s="16" t="inlineStr">
        <is>
          <t>ASSUMPTION</t>
        </is>
      </c>
      <c r="I125" s="3" t="inlineStr">
        <is>
          <t>Billo from $99 (https://billo.app/?p=54672); Collabstr avg ~$197 (secondhand).</t>
        </is>
      </c>
    </row>
    <row r="126">
      <c r="A126" s="19" t="inlineStr">
        <is>
          <t>ugc_pet</t>
        </is>
      </c>
      <c r="B126" s="3" t="inlineStr">
        <is>
          <t>Pet-creator premium (cat must drink on camera)</t>
        </is>
      </c>
      <c r="C126" s="3" t="inlineStr">
        <is>
          <t>%</t>
        </is>
      </c>
      <c r="D126" s="24" t="n">
        <v>0.2</v>
      </c>
      <c r="E126" s="24" t="n">
        <v>0.15</v>
      </c>
      <c r="F126" s="24" t="n">
        <v>0.1</v>
      </c>
      <c r="G126" s="25">
        <f>CHOOSE($D$3,D126,E126,F126)</f>
        <v>0.15</v>
      </c>
      <c r="H126" s="16" t="inlineStr">
        <is>
          <t>ASSUMPTION</t>
        </is>
      </c>
      <c r="I126" s="3" t="inlineStr">
        <is>
          <t>acquisition_retention.md Q6: +10-20%.</t>
        </is>
      </c>
    </row>
    <row r="127">
      <c r="A127" s="19" t="inlineStr">
        <is>
          <t>ugc_vid_m13</t>
        </is>
      </c>
      <c r="B127" s="3" t="inlineStr">
        <is>
          <t>UGC videos per month, launch months 1-3 (reference)</t>
        </is>
      </c>
      <c r="C127" s="3" t="inlineStr">
        <is>
          <t>videos</t>
        </is>
      </c>
      <c r="D127" s="20" t="n">
        <v>6</v>
      </c>
      <c r="E127" s="20" t="n">
        <v>10</v>
      </c>
      <c r="F127" s="20" t="n">
        <v>15</v>
      </c>
      <c r="G127" s="21">
        <f>CHOOSE($D$3,D127,E127,F127)</f>
        <v>10.0</v>
      </c>
      <c r="H127" s="16" t="inlineStr">
        <is>
          <t>ASSUMPTION</t>
        </is>
      </c>
      <c r="I127" s="3" t="inlineStr">
        <is>
          <t>acquisition_retention.md Q6.</t>
        </is>
      </c>
    </row>
    <row r="128">
      <c r="A128" s="19" t="inlineStr">
        <is>
          <t>ugc_vid_m412</t>
        </is>
      </c>
      <c r="B128" s="3" t="inlineStr">
        <is>
          <t>UGC videos per month, months 4-12 (reference)</t>
        </is>
      </c>
      <c r="C128" s="3" t="inlineStr">
        <is>
          <t>videos</t>
        </is>
      </c>
      <c r="D128" s="20" t="n">
        <v>4</v>
      </c>
      <c r="E128" s="20" t="n">
        <v>8</v>
      </c>
      <c r="F128" s="20" t="n">
        <v>12</v>
      </c>
      <c r="G128" s="21">
        <f>CHOOSE($D$3,D128,E128,F128)</f>
        <v>8.0</v>
      </c>
      <c r="H128" s="16" t="inlineStr">
        <is>
          <t>ASSUMPTION</t>
        </is>
      </c>
      <c r="I128" s="3" t="inlineStr">
        <is>
          <t>acquisition_retention.md Q6.</t>
        </is>
      </c>
    </row>
    <row r="129">
      <c r="A129" s="19" t="inlineStr">
        <is>
          <t>ugc_spend_m13</t>
        </is>
      </c>
      <c r="B129" s="3" t="inlineStr">
        <is>
          <t>UGC creative spend per month, months 1-3 (formula, reference)</t>
        </is>
      </c>
      <c r="C129" s="3" t="inlineStr">
        <is>
          <t>$/month</t>
        </is>
      </c>
      <c r="D129" s="33">
        <f>D127*D125*(1+D126)</f>
        <v>2160.0</v>
      </c>
      <c r="E129" s="33">
        <f>E127*E125*(1+E126)</f>
        <v>2300.0</v>
      </c>
      <c r="F129" s="33">
        <f>F127*F125*(1+F126)</f>
        <v>2145.0</v>
      </c>
      <c r="G129" s="30">
        <f>CHOOSE($D$3,D129,E129,F129)</f>
        <v>2300.0</v>
      </c>
      <c r="H129" s="3" t="inlineStr">
        <is>
          <t>ESTIMATE</t>
        </is>
      </c>
      <c r="I129" s="3" t="inlineStr">
        <is>
          <t>Reference only; Launch_Budget uses tier video counts x selected unit cost.</t>
        </is>
      </c>
    </row>
    <row r="130">
      <c r="A130" s="19" t="inlineStr">
        <is>
          <t>ugc_spend_m412</t>
        </is>
      </c>
      <c r="B130" s="3" t="inlineStr">
        <is>
          <t>UGC creative spend per month, months 4-12 (formula, reference)</t>
        </is>
      </c>
      <c r="C130" s="3" t="inlineStr">
        <is>
          <t>$/month</t>
        </is>
      </c>
      <c r="D130" s="33">
        <f>D128*D125*(1+D126)</f>
        <v>1440.0</v>
      </c>
      <c r="E130" s="33">
        <f>E128*E125*(1+E126)</f>
        <v>1839.9999999999998</v>
      </c>
      <c r="F130" s="33">
        <f>F128*F125*(1+F126)</f>
        <v>1716.0000000000002</v>
      </c>
      <c r="G130" s="30">
        <f>CHOOSE($D$3,D130,E130,F130)</f>
        <v>1839.9999999999998</v>
      </c>
      <c r="H130" s="3" t="inlineStr">
        <is>
          <t>ESTIMATE</t>
        </is>
      </c>
      <c r="I130" s="3" t="inlineStr">
        <is>
          <t>Reference only.</t>
        </is>
      </c>
    </row>
    <row r="131">
      <c r="A131" s="5" t="n"/>
      <c r="B131" s="4" t="inlineStr">
        <is>
          <t>K. Retention - cat (filter subscription, repeat, cross-sell)</t>
        </is>
      </c>
      <c r="C131" s="5" t="n"/>
      <c r="D131" s="5" t="n"/>
      <c r="E131" s="5" t="n"/>
      <c r="F131" s="5" t="n"/>
      <c r="G131" s="5" t="n"/>
      <c r="H131" s="5" t="n"/>
      <c r="I131" s="5" t="n"/>
    </row>
    <row r="132">
      <c r="A132" s="19" t="inlineStr">
        <is>
          <t>cross_sell</t>
        </is>
      </c>
      <c r="B132" s="3" t="inlineStr">
        <is>
          <t>Cross-sell attach on first order (litter mat)</t>
        </is>
      </c>
      <c r="C132" s="3" t="inlineStr">
        <is>
          <t>% of first orders</t>
        </is>
      </c>
      <c r="D132" s="24" t="n">
        <v>0.15</v>
      </c>
      <c r="E132" s="24" t="n">
        <v>0.25</v>
      </c>
      <c r="F132" s="24" t="n">
        <v>0.35</v>
      </c>
      <c r="G132" s="25">
        <f>CHOOSE($D$3,D132,E132,F132)</f>
        <v>0.25</v>
      </c>
      <c r="H132" s="16" t="inlineStr">
        <is>
          <t>ASSUMPTION</t>
        </is>
      </c>
      <c r="I132" s="3" t="inlineStr">
        <is>
          <t>acquisition_retention.md Q4 (add-on attach 15/25/35%). Applied at private-label stage only.</t>
        </is>
      </c>
    </row>
    <row r="133">
      <c r="A133" s="19" t="inlineStr">
        <is>
          <t>attach_cat</t>
        </is>
      </c>
      <c r="B133" s="3" t="inlineStr">
        <is>
          <t>Filter subscription attach rate</t>
        </is>
      </c>
      <c r="C133" s="3" t="inlineStr">
        <is>
          <t>% of new buyers</t>
        </is>
      </c>
      <c r="D133" s="24" t="n">
        <v>0.1</v>
      </c>
      <c r="E133" s="24" t="n">
        <v>0.2</v>
      </c>
      <c r="F133" s="24" t="n">
        <v>0.3</v>
      </c>
      <c r="G133" s="25">
        <f>CHOOSE($D$3,D133,E133,F133)</f>
        <v>0.2</v>
      </c>
      <c r="H133" s="16" t="inlineStr">
        <is>
          <t>ASSUMPTION</t>
        </is>
      </c>
      <c r="I133" s="3" t="inlineStr">
        <is>
          <t>acquisition_retention.md Q3; VetRxDirect recurring = 20% of revenue (https://www.ordergroove.com/case-studies/vetrxdirect/).</t>
        </is>
      </c>
    </row>
    <row r="134">
      <c r="A134" s="19" t="inlineStr">
        <is>
          <t>cadence</t>
        </is>
      </c>
      <c r="B134" s="3" t="inlineStr">
        <is>
          <t>Filter pack cadence</t>
        </is>
      </c>
      <c r="C134" s="3" t="inlineStr">
        <is>
          <t>months</t>
        </is>
      </c>
      <c r="D134" s="20" t="n">
        <v>3</v>
      </c>
      <c r="E134" s="20" t="n">
        <v>3</v>
      </c>
      <c r="F134" s="20" t="n">
        <v>3</v>
      </c>
      <c r="G134" s="21">
        <f>CHOOSE($D$3,D134,E134,F134)</f>
        <v>3.0</v>
      </c>
      <c r="H134" s="16" t="inlineStr">
        <is>
          <t>ASSUMPTION</t>
        </is>
      </c>
      <c r="I134" s="3" t="inlineStr">
        <is>
          <t>Client default 90-day pack (CP3 Sec.9 #5).</t>
        </is>
      </c>
    </row>
    <row r="135">
      <c r="A135" s="19" t="inlineStr">
        <is>
          <t>churn_first</t>
        </is>
      </c>
      <c r="B135" s="3" t="inlineStr">
        <is>
          <t>Voluntary churn before FIRST renewal</t>
        </is>
      </c>
      <c r="C135" s="3" t="inlineStr">
        <is>
          <t>% per 90-day cycle</t>
        </is>
      </c>
      <c r="D135" s="24" t="n">
        <v>0.35</v>
      </c>
      <c r="E135" s="24" t="n">
        <v>0.25</v>
      </c>
      <c r="F135" s="24" t="n">
        <v>0.15</v>
      </c>
      <c r="G135" s="25">
        <f>CHOOSE($D$3,D135,E135,F135)</f>
        <v>0.25</v>
      </c>
      <c r="H135" s="16" t="inlineStr">
        <is>
          <t>ASSUMPTION</t>
        </is>
      </c>
      <c r="I135" s="3" t="inlineStr">
        <is>
          <t>acquisition_retention.md Q3.</t>
        </is>
      </c>
    </row>
    <row r="136">
      <c r="A136" s="19" t="inlineStr">
        <is>
          <t>churn_later</t>
        </is>
      </c>
      <c r="B136" s="3" t="inlineStr">
        <is>
          <t>Voluntary churn, later cycles</t>
        </is>
      </c>
      <c r="C136" s="3" t="inlineStr">
        <is>
          <t>% per 90-day cycle</t>
        </is>
      </c>
      <c r="D136" s="24" t="n">
        <v>0.24</v>
      </c>
      <c r="E136" s="24" t="n">
        <v>0.15</v>
      </c>
      <c r="F136" s="24" t="n">
        <v>0.09</v>
      </c>
      <c r="G136" s="25">
        <f>CHOOSE($D$3,D136,E136,F136)</f>
        <v>0.15</v>
      </c>
      <c r="H136" s="16" t="inlineStr">
        <is>
          <t>ASSUMPTION</t>
        </is>
      </c>
      <c r="I136" s="3" t="inlineStr">
        <is>
          <t>CONFLICT: acquisition notes 20/14/9% (~5%/mo base) vs CP2 planning case 6-10%/mo. Conservative: pess/base raised so total (with involuntary) = ~9.4%/mo pess, ~6.0%/mo base.</t>
        </is>
      </c>
    </row>
    <row r="137">
      <c r="A137" s="19" t="inlineStr">
        <is>
          <t>invol</t>
        </is>
      </c>
      <c r="B137" s="3" t="inlineStr">
        <is>
          <t>Involuntary churn (failed payments after dunning)</t>
        </is>
      </c>
      <c r="C137" s="3" t="inlineStr">
        <is>
          <t>% per month</t>
        </is>
      </c>
      <c r="D137" s="24" t="n">
        <v>0.01</v>
      </c>
      <c r="E137" s="24" t="n">
        <v>0.007</v>
      </c>
      <c r="F137" s="24" t="n">
        <v>0.004</v>
      </c>
      <c r="G137" s="25">
        <f>CHOOSE($D$3,D137,E137,F137)</f>
        <v>0.007</v>
      </c>
      <c r="H137" s="16" t="inlineStr">
        <is>
          <t>ASSUMPTION</t>
        </is>
      </c>
      <c r="I137" s="3" t="inlineStr">
        <is>
          <t>Recharge pet split ~0.9% involuntary (SECONDHAND, https://eightx.co/blog/pet-subscription-churn-rate-benchmark).</t>
        </is>
      </c>
    </row>
    <row r="138">
      <c r="A138" s="19" t="inlineStr">
        <is>
          <t>churn_month_equiv</t>
        </is>
      </c>
      <c r="B138" s="3" t="inlineStr">
        <is>
          <t>Later-cycle total churn, monthly equivalent (formula)</t>
        </is>
      </c>
      <c r="C138" s="3" t="inlineStr">
        <is>
          <t>% per month</t>
        </is>
      </c>
      <c r="D138" s="34">
        <f>1-((1-D136)*(1-D137)^D134)^(1/D134)</f>
        <v>0.09654527819338055</v>
      </c>
      <c r="E138" s="34">
        <f>1-((1-E136)*(1-E137)^E134)^(1/E134)</f>
        <v>0.05936264047439177</v>
      </c>
      <c r="F138" s="34">
        <f>1-((1-F136)*(1-F137)^F134)^(1/F134)</f>
        <v>0.034824100090023236</v>
      </c>
      <c r="G138" s="25">
        <f>CHOOSE($D$3,D138,E138,F138)</f>
        <v>0.05936264047439177</v>
      </c>
      <c r="H138" s="3" t="inlineStr">
        <is>
          <t>ESTIMATE</t>
        </is>
      </c>
      <c r="I138" s="3" t="inlineStr">
        <is>
          <t>Cross-check vs Subbly replenishment median 6.31%/mo and Recharge pet 3.4%/mo.</t>
        </is>
      </c>
    </row>
    <row r="139">
      <c r="A139" s="19" t="inlineStr">
        <is>
          <t>repeat_rate</t>
        </is>
      </c>
      <c r="B139" s="3" t="inlineStr">
        <is>
          <t>12-month repeat purchase rate, non-subscribers</t>
        </is>
      </c>
      <c r="C139" s="3" t="inlineStr">
        <is>
          <t>% of non-subscribers</t>
        </is>
      </c>
      <c r="D139" s="24" t="n">
        <v>0.12</v>
      </c>
      <c r="E139" s="24" t="n">
        <v>0.2</v>
      </c>
      <c r="F139" s="24" t="n">
        <v>0.28</v>
      </c>
      <c r="G139" s="25">
        <f>CHOOSE($D$3,D139,E139,F139)</f>
        <v>0.2</v>
      </c>
      <c r="H139" s="16" t="inlineStr">
        <is>
          <t>ASSUMPTION</t>
        </is>
      </c>
      <c r="I139" s="3" t="inlineStr">
        <is>
          <t>acquisition_retention.md Q4; ecommerce avg 28.2% (Rivo, vendor).</t>
        </is>
      </c>
    </row>
    <row r="140">
      <c r="A140" s="19" t="inlineStr">
        <is>
          <t>occ_first</t>
        </is>
      </c>
      <c r="B140" s="3" t="inlineStr">
        <is>
          <t>Occasional repeaters: month of first repeat order</t>
        </is>
      </c>
      <c r="C140" s="3" t="inlineStr">
        <is>
          <t>month #</t>
        </is>
      </c>
      <c r="D140" s="20" t="n">
        <v>5</v>
      </c>
      <c r="E140" s="20" t="n">
        <v>4</v>
      </c>
      <c r="F140" s="20" t="n">
        <v>3</v>
      </c>
      <c r="G140" s="21">
        <f>CHOOSE($D$3,D140,E140,F140)</f>
        <v>4.0</v>
      </c>
      <c r="H140" s="16" t="inlineStr">
        <is>
          <t>ASSUMPTION</t>
        </is>
      </c>
      <c r="I140" s="3" t="inlineStr">
        <is>
          <t>Starter filter runs out ~month 2-4.</t>
        </is>
      </c>
    </row>
    <row r="141">
      <c r="A141" s="19" t="inlineStr">
        <is>
          <t>occ_interval</t>
        </is>
      </c>
      <c r="B141" s="3" t="inlineStr">
        <is>
          <t>Occasional repeaters: months between repeat orders</t>
        </is>
      </c>
      <c r="C141" s="3" t="inlineStr">
        <is>
          <t>months</t>
        </is>
      </c>
      <c r="D141" s="20" t="n">
        <v>6</v>
      </c>
      <c r="E141" s="20" t="n">
        <v>4</v>
      </c>
      <c r="F141" s="20" t="n">
        <v>3</v>
      </c>
      <c r="G141" s="21">
        <f>CHOOSE($D$3,D141,E141,F141)</f>
        <v>4.0</v>
      </c>
      <c r="H141" s="16" t="inlineStr">
        <is>
          <t>ASSUMPTION</t>
        </is>
      </c>
      <c r="I141" s="3" t="inlineStr">
        <is>
          <t>Less regular than subscribers.</t>
        </is>
      </c>
    </row>
    <row r="142">
      <c r="A142" s="19" t="inlineStr">
        <is>
          <t>occ_continue</t>
        </is>
      </c>
      <c r="B142" s="3" t="inlineStr">
        <is>
          <t>Occasional repeaters: probability of each further repeat</t>
        </is>
      </c>
      <c r="C142" s="3" t="inlineStr">
        <is>
          <t>%</t>
        </is>
      </c>
      <c r="D142" s="24" t="n">
        <v>0.5</v>
      </c>
      <c r="E142" s="24" t="n">
        <v>0.6</v>
      </c>
      <c r="F142" s="24" t="n">
        <v>0.75</v>
      </c>
      <c r="G142" s="25">
        <f>CHOOSE($D$3,D142,E142,F142)</f>
        <v>0.6</v>
      </c>
      <c r="H142" s="16" t="inlineStr">
        <is>
          <t>ASSUMPTION</t>
        </is>
      </c>
      <c r="I142" s="3" t="inlineStr">
        <is>
          <t>Decay of one-time buyers.</t>
        </is>
      </c>
    </row>
    <row r="143">
      <c r="A143" s="5" t="n"/>
      <c r="B143" s="4" t="inlineStr">
        <is>
          <t>L. Retention - espresso (bean subscription, repeat)</t>
        </is>
      </c>
      <c r="C143" s="5" t="n"/>
      <c r="D143" s="5" t="n"/>
      <c r="E143" s="5" t="n"/>
      <c r="F143" s="5" t="n"/>
      <c r="G143" s="5" t="n"/>
      <c r="H143" s="5" t="n"/>
      <c r="I143" s="5" t="n"/>
    </row>
    <row r="144">
      <c r="A144" s="19" t="inlineStr">
        <is>
          <t>attach_esp</t>
        </is>
      </c>
      <c r="B144" s="3" t="inlineStr">
        <is>
          <t>Bean subscription attach rate on kit buyers</t>
        </is>
      </c>
      <c r="C144" s="3" t="inlineStr">
        <is>
          <t>% of new buyers</t>
        </is>
      </c>
      <c r="D144" s="24" t="n">
        <v>0.08</v>
      </c>
      <c r="E144" s="24" t="n">
        <v>0.15</v>
      </c>
      <c r="F144" s="24" t="n">
        <v>0.25</v>
      </c>
      <c r="G144" s="25">
        <f>CHOOSE($D$3,D144,E144,F144)</f>
        <v>0.15</v>
      </c>
      <c r="H144" s="16" t="inlineStr">
        <is>
          <t>ASSUMPTION</t>
        </is>
      </c>
      <c r="I144" s="3" t="inlineStr">
        <is>
          <t>acquisition_retention.md Q3.</t>
        </is>
      </c>
    </row>
    <row r="145">
      <c r="A145" s="19" t="inlineStr">
        <is>
          <t>esp_first_drop</t>
        </is>
      </c>
      <c r="B145" s="3" t="inlineStr">
        <is>
          <t>Bean subscription first-month drop</t>
        </is>
      </c>
      <c r="C145" s="3" t="inlineStr">
        <is>
          <t>% after shipment 1</t>
        </is>
      </c>
      <c r="D145" s="24" t="n">
        <v>0.25</v>
      </c>
      <c r="E145" s="24" t="n">
        <v>0.18</v>
      </c>
      <c r="F145" s="24" t="n">
        <v>0.12</v>
      </c>
      <c r="G145" s="25">
        <f>CHOOSE($D$3,D145,E145,F145)</f>
        <v>0.18</v>
      </c>
      <c r="H145" s="16" t="inlineStr">
        <is>
          <t>ASSUMPTION</t>
        </is>
      </c>
      <c r="I145" s="3" t="inlineStr">
        <is>
          <t>acquisition_retention.md Q3.</t>
        </is>
      </c>
    </row>
    <row r="146">
      <c r="A146" s="19" t="inlineStr">
        <is>
          <t>esp_churn</t>
        </is>
      </c>
      <c r="B146" s="3" t="inlineStr">
        <is>
          <t>Bean subscription monthly churn (voluntary)</t>
        </is>
      </c>
      <c r="C146" s="3" t="inlineStr">
        <is>
          <t>% per month</t>
        </is>
      </c>
      <c r="D146" s="24" t="n">
        <v>0.1</v>
      </c>
      <c r="E146" s="24" t="n">
        <v>0.07000000000000001</v>
      </c>
      <c r="F146" s="24" t="n">
        <v>0.04</v>
      </c>
      <c r="G146" s="25">
        <f>CHOOSE($D$3,D146,E146,F146)</f>
        <v>0.07</v>
      </c>
      <c r="H146" s="16" t="inlineStr">
        <is>
          <t>ASSUMPTION</t>
        </is>
      </c>
      <c r="I146" s="3" t="inlineStr">
        <is>
          <t>Coffee 5-10% typical; Peace Coffee 2-3% best-in-class (https://www.loopwork.co/customer-stories/peace-coffee). Involuntary row K added.</t>
        </is>
      </c>
    </row>
    <row r="147">
      <c r="A147" s="19" t="inlineStr">
        <is>
          <t>esp_repeat</t>
        </is>
      </c>
      <c r="B147" s="3" t="inlineStr">
        <is>
          <t>12-month repeat rate, non-subscriber kit buyers</t>
        </is>
      </c>
      <c r="C147" s="3" t="inlineStr">
        <is>
          <t>% of non-subscribers</t>
        </is>
      </c>
      <c r="D147" s="24" t="n">
        <v>0.1</v>
      </c>
      <c r="E147" s="24" t="n">
        <v>0.15</v>
      </c>
      <c r="F147" s="24" t="n">
        <v>0.2</v>
      </c>
      <c r="G147" s="25">
        <f>CHOOSE($D$3,D147,E147,F147)</f>
        <v>0.15</v>
      </c>
      <c r="H147" s="16" t="inlineStr">
        <is>
          <t>ASSUMPTION</t>
        </is>
      </c>
      <c r="I147" s="3" t="inlineStr">
        <is>
          <t>No source; analyst placeholder (one-time bean orders).</t>
        </is>
      </c>
    </row>
    <row r="148">
      <c r="A148" s="19" t="inlineStr">
        <is>
          <t>esp_occ_first</t>
        </is>
      </c>
      <c r="B148" s="3" t="inlineStr">
        <is>
          <t>Occasional bean buyers: month of first repeat</t>
        </is>
      </c>
      <c r="C148" s="3" t="inlineStr">
        <is>
          <t>month #</t>
        </is>
      </c>
      <c r="D148" s="20" t="n">
        <v>3</v>
      </c>
      <c r="E148" s="20" t="n">
        <v>2</v>
      </c>
      <c r="F148" s="20" t="n">
        <v>2</v>
      </c>
      <c r="G148" s="21">
        <f>CHOOSE($D$3,D148,E148,F148)</f>
        <v>2.0</v>
      </c>
      <c r="H148" s="16" t="inlineStr">
        <is>
          <t>ASSUMPTION</t>
        </is>
      </c>
      <c r="I148" s="3" t="inlineStr">
        <is>
          <t>Placeholder.</t>
        </is>
      </c>
    </row>
    <row r="149">
      <c r="A149" s="19" t="inlineStr">
        <is>
          <t>esp_occ_interval</t>
        </is>
      </c>
      <c r="B149" s="3" t="inlineStr">
        <is>
          <t>Occasional bean buyers: months between orders</t>
        </is>
      </c>
      <c r="C149" s="3" t="inlineStr">
        <is>
          <t>months</t>
        </is>
      </c>
      <c r="D149" s="20" t="n">
        <v>4</v>
      </c>
      <c r="E149" s="20" t="n">
        <v>3</v>
      </c>
      <c r="F149" s="20" t="n">
        <v>2</v>
      </c>
      <c r="G149" s="21">
        <f>CHOOSE($D$3,D149,E149,F149)</f>
        <v>3.0</v>
      </c>
      <c r="H149" s="16" t="inlineStr">
        <is>
          <t>ASSUMPTION</t>
        </is>
      </c>
      <c r="I149" s="3" t="inlineStr">
        <is>
          <t>Placeholder.</t>
        </is>
      </c>
    </row>
    <row r="150">
      <c r="A150" s="19" t="inlineStr">
        <is>
          <t>esp_occ_continue</t>
        </is>
      </c>
      <c r="B150" s="3" t="inlineStr">
        <is>
          <t>Occasional bean buyers: probability of each further order</t>
        </is>
      </c>
      <c r="C150" s="3" t="inlineStr">
        <is>
          <t>%</t>
        </is>
      </c>
      <c r="D150" s="24" t="n">
        <v>0.4</v>
      </c>
      <c r="E150" s="24" t="n">
        <v>0.5</v>
      </c>
      <c r="F150" s="24" t="n">
        <v>0.6</v>
      </c>
      <c r="G150" s="25">
        <f>CHOOSE($D$3,D150,E150,F150)</f>
        <v>0.5</v>
      </c>
      <c r="H150" s="16" t="inlineStr">
        <is>
          <t>ASSUMPTION</t>
        </is>
      </c>
      <c r="I150" s="3" t="inlineStr">
        <is>
          <t>Placeholder.</t>
        </is>
      </c>
    </row>
    <row r="151">
      <c r="A151" s="5" t="n"/>
      <c r="B151" s="4" t="inlineStr">
        <is>
          <t>M. Fixed monthly costs (app stack and overhead)</t>
        </is>
      </c>
      <c r="C151" s="5" t="n"/>
      <c r="D151" s="5" t="n"/>
      <c r="E151" s="5" t="n"/>
      <c r="F151" s="5" t="n"/>
      <c r="G151" s="5" t="n"/>
      <c r="H151" s="5" t="n"/>
      <c r="I151" s="5" t="n"/>
    </row>
    <row r="152">
      <c r="A152" s="19" t="inlineStr">
        <is>
          <t>shopify</t>
        </is>
      </c>
      <c r="B152" s="3" t="inlineStr">
        <is>
          <t>Shopify Basic</t>
        </is>
      </c>
      <c r="C152" s="3" t="inlineStr">
        <is>
          <t>$/month</t>
        </is>
      </c>
      <c r="D152" s="22" t="n">
        <v>39</v>
      </c>
      <c r="E152" s="22" t="n">
        <v>39</v>
      </c>
      <c r="F152" s="22" t="n">
        <v>29</v>
      </c>
      <c r="G152" s="23">
        <f>CHOOSE($D$3,D152,E152,F152)</f>
        <v>39.0</v>
      </c>
      <c r="H152" s="3" t="inlineStr">
        <is>
          <t>VENDOR</t>
        </is>
      </c>
      <c r="I152" s="3" t="inlineStr">
        <is>
          <t>$39 monthly / $29 annual (NerdWallet).</t>
        </is>
      </c>
    </row>
    <row r="153">
      <c r="A153" s="19" t="inlineStr">
        <is>
          <t>autods</t>
        </is>
      </c>
      <c r="B153" s="3" t="inlineStr">
        <is>
          <t>AutoDS Starter + auto-order add-on (test stage only)</t>
        </is>
      </c>
      <c r="C153" s="3" t="inlineStr">
        <is>
          <t>$/month</t>
        </is>
      </c>
      <c r="D153" s="22" t="n">
        <v>39.8</v>
      </c>
      <c r="E153" s="22" t="n">
        <v>39.8</v>
      </c>
      <c r="F153" s="22" t="n">
        <v>29.8</v>
      </c>
      <c r="G153" s="23">
        <f>CHOOSE($D$3,D153,E153,F153)</f>
        <v>39.8</v>
      </c>
      <c r="H153" s="3" t="inlineStr">
        <is>
          <t>VENDOR</t>
        </is>
      </c>
      <c r="I153" s="3" t="inlineStr">
        <is>
          <t>Starter $29.90 / Import $19.90 + $9.90 auto-order (https://pricingsaas.com/companies/autods).</t>
        </is>
      </c>
    </row>
    <row r="154">
      <c r="A154" s="19" t="inlineStr">
        <is>
          <t>klaviyo</t>
        </is>
      </c>
      <c r="B154" s="3" t="inlineStr">
        <is>
          <t>Klaviyo email (year 1)</t>
        </is>
      </c>
      <c r="C154" s="3" t="inlineStr">
        <is>
          <t>$/month</t>
        </is>
      </c>
      <c r="D154" s="22" t="n">
        <v>30</v>
      </c>
      <c r="E154" s="22" t="n">
        <v>20</v>
      </c>
      <c r="F154" s="22" t="n">
        <v>0</v>
      </c>
      <c r="G154" s="23">
        <f>CHOOSE($D$3,D154,E154,F154)</f>
        <v>20.0</v>
      </c>
      <c r="H154" s="3" t="inlineStr">
        <is>
          <t>SECONDHAND</t>
        </is>
      </c>
      <c r="I154" s="3" t="inlineStr">
        <is>
          <t>500 profiles $20; 1,000 $30; 250 free (First Pier; SendX conflict at 2,500+).</t>
        </is>
      </c>
    </row>
    <row r="155">
      <c r="A155" s="19" t="inlineStr">
        <is>
          <t>reviews</t>
        </is>
      </c>
      <c r="B155" s="3" t="inlineStr">
        <is>
          <t>Reviews app (Judge.me Awesome)</t>
        </is>
      </c>
      <c r="C155" s="3" t="inlineStr">
        <is>
          <t>$/month</t>
        </is>
      </c>
      <c r="D155" s="22" t="n">
        <v>15</v>
      </c>
      <c r="E155" s="22" t="n">
        <v>15</v>
      </c>
      <c r="F155" s="22" t="n">
        <v>0</v>
      </c>
      <c r="G155" s="23">
        <f>CHOOSE($D$3,D155,E155,F155)</f>
        <v>15.0</v>
      </c>
      <c r="H155" s="3" t="inlineStr">
        <is>
          <t>VENDOR</t>
        </is>
      </c>
      <c r="I155" s="3" t="inlineStr">
        <is>
          <t>$15 flat; free tier exists.</t>
        </is>
      </c>
    </row>
    <row r="156">
      <c r="A156" s="19" t="inlineStr">
        <is>
          <t>subs_app</t>
        </is>
      </c>
      <c r="B156" s="3" t="inlineStr">
        <is>
          <t>Subscription app (Seal)</t>
        </is>
      </c>
      <c r="C156" s="3" t="inlineStr">
        <is>
          <t>$/month</t>
        </is>
      </c>
      <c r="D156" s="22" t="n">
        <v>24.95</v>
      </c>
      <c r="E156" s="22" t="n">
        <v>9.949999999999999</v>
      </c>
      <c r="F156" s="22" t="n">
        <v>0</v>
      </c>
      <c r="G156" s="23">
        <f>CHOOSE($D$3,D156,E156,F156)</f>
        <v>9.95</v>
      </c>
      <c r="H156" s="3" t="inlineStr">
        <is>
          <t>VENDOR</t>
        </is>
      </c>
      <c r="I156" s="3" t="inlineStr">
        <is>
          <t>Free / $5.95 / $9.95 / $24.95 tiers, 0% transaction fee.</t>
        </is>
      </c>
    </row>
    <row r="157">
      <c r="A157" s="19" t="inlineStr">
        <is>
          <t>insurance</t>
        </is>
      </c>
      <c r="B157" s="3" t="inlineStr">
        <is>
          <t>General + product liability insurance</t>
        </is>
      </c>
      <c r="C157" s="3" t="inlineStr">
        <is>
          <t>$/month</t>
        </is>
      </c>
      <c r="D157" s="22" t="n">
        <v>150</v>
      </c>
      <c r="E157" s="22" t="n">
        <v>100</v>
      </c>
      <c r="F157" s="22" t="n">
        <v>50</v>
      </c>
      <c r="G157" s="23">
        <f>CHOOSE($D$3,D157,E157,F157)</f>
        <v>100.0</v>
      </c>
      <c r="H157" s="16" t="inlineStr">
        <is>
          <t>ASSUMPTION</t>
        </is>
      </c>
      <c r="I157" s="3" t="inlineStr">
        <is>
          <t>Pet-care GL $22-$43/mo (Next, Insureon); importer of electricals pays more (cost_inputs.md Q5).</t>
        </is>
      </c>
    </row>
    <row r="158">
      <c r="A158" s="19" t="inlineStr">
        <is>
          <t>roaster_app</t>
        </is>
      </c>
      <c r="B158" s="3" t="inlineStr">
        <is>
          <t>Roaster app plan (espresso)</t>
        </is>
      </c>
      <c r="C158" s="3" t="inlineStr">
        <is>
          <t>$/month</t>
        </is>
      </c>
      <c r="D158" s="22" t="n">
        <v>30</v>
      </c>
      <c r="E158" s="22" t="n">
        <v>15</v>
      </c>
      <c r="F158" s="22" t="n">
        <v>15</v>
      </c>
      <c r="G158" s="23">
        <f>CHOOSE($D$3,D158,E158,F158)</f>
        <v>15.0</v>
      </c>
      <c r="H158" s="3" t="inlineStr">
        <is>
          <t>VENDOR</t>
        </is>
      </c>
      <c r="I158" s="3" t="inlineStr">
        <is>
          <t>Dripshipper Starter $30; Roastify Base $15.</t>
        </is>
      </c>
    </row>
    <row r="159">
      <c r="A159" s="5" t="n"/>
      <c r="B159" s="4" t="inlineStr">
        <is>
          <t>N. Go/no-go policy thresholds (same in all scenarios; analyst proposals)</t>
        </is>
      </c>
      <c r="C159" s="5" t="n"/>
      <c r="D159" s="5" t="n"/>
      <c r="E159" s="5" t="n"/>
      <c r="F159" s="5" t="n"/>
      <c r="G159" s="5" t="n"/>
      <c r="H159" s="5" t="n"/>
      <c r="I159" s="5" t="n"/>
    </row>
    <row r="160">
      <c r="A160" s="19" t="inlineStr">
        <is>
          <t>th_payback_go</t>
        </is>
      </c>
      <c r="B160" s="3" t="inlineStr">
        <is>
          <t>Max contribution payback for GO</t>
        </is>
      </c>
      <c r="C160" s="3" t="inlineStr">
        <is>
          <t>months</t>
        </is>
      </c>
      <c r="D160" s="20" t="n">
        <v>9</v>
      </c>
      <c r="E160" s="20" t="n">
        <v>9</v>
      </c>
      <c r="F160" s="20" t="n">
        <v>9</v>
      </c>
      <c r="G160" s="21">
        <f>CHOOSE($D$3,D160,E160,F160)</f>
        <v>9.0</v>
      </c>
      <c r="H160" s="16" t="inlineStr">
        <is>
          <t>ASSUMPTION</t>
        </is>
      </c>
      <c r="I160" s="3" t="inlineStr">
        <is>
          <t>Payback ladder: &lt;3 excellent, 3-6 good, 6-12 acceptable (https://www.attnagency.com/blog/cac-payback-period).</t>
        </is>
      </c>
    </row>
    <row r="161">
      <c r="A161" s="19" t="inlineStr">
        <is>
          <t>th_payback_max</t>
        </is>
      </c>
      <c r="B161" s="3" t="inlineStr">
        <is>
          <t>Max contribution payback, CONDITIONAL (beyond = non-investable)</t>
        </is>
      </c>
      <c r="C161" s="3" t="inlineStr">
        <is>
          <t>months</t>
        </is>
      </c>
      <c r="D161" s="20" t="n">
        <v>12</v>
      </c>
      <c r="E161" s="20" t="n">
        <v>12</v>
      </c>
      <c r="F161" s="20" t="n">
        <v>12</v>
      </c>
      <c r="G161" s="21">
        <f>CHOOSE($D$3,D161,E161,F161)</f>
        <v>12.0</v>
      </c>
      <c r="H161" s="16" t="inlineStr">
        <is>
          <t>ASSUMPTION</t>
        </is>
      </c>
      <c r="I161" s="3" t="inlineStr">
        <is>
          <t>Investors want &lt;12 months on contribution (acquisition_retention.md Q7).</t>
        </is>
      </c>
    </row>
    <row r="162">
      <c r="A162" s="19" t="inlineStr">
        <is>
          <t>th_ltv_go</t>
        </is>
      </c>
      <c r="B162" s="3" t="inlineStr">
        <is>
          <t>12-month contribution LTV:CAC for GO</t>
        </is>
      </c>
      <c r="C162" s="3" t="inlineStr">
        <is>
          <t>x</t>
        </is>
      </c>
      <c r="D162" s="35" t="n">
        <v>1.5</v>
      </c>
      <c r="E162" s="35" t="n">
        <v>1.5</v>
      </c>
      <c r="F162" s="35" t="n">
        <v>1.5</v>
      </c>
      <c r="G162" s="36">
        <f>CHOOSE($D$3,D162,E162,F162)</f>
        <v>1.5</v>
      </c>
      <c r="H162" s="16" t="inlineStr">
        <is>
          <t>ASSUMPTION</t>
        </is>
      </c>
      <c r="I162" s="3" t="inlineStr">
        <is>
          <t>Base case requires subscription to carry past 1.5x (notes Q7).</t>
        </is>
      </c>
    </row>
    <row r="163">
      <c r="A163" s="19" t="inlineStr">
        <is>
          <t>th_ltv_cond</t>
        </is>
      </c>
      <c r="B163" s="3" t="inlineStr">
        <is>
          <t>12-month contribution LTV:CAC, CONDITIONAL</t>
        </is>
      </c>
      <c r="C163" s="3" t="inlineStr">
        <is>
          <t>x</t>
        </is>
      </c>
      <c r="D163" s="35" t="n">
        <v>1.2</v>
      </c>
      <c r="E163" s="35" t="n">
        <v>1.2</v>
      </c>
      <c r="F163" s="35" t="n">
        <v>1.2</v>
      </c>
      <c r="G163" s="36">
        <f>CHOOSE($D$3,D163,E163,F163)</f>
        <v>1.2</v>
      </c>
      <c r="H163" s="16" t="inlineStr">
        <is>
          <t>ASSUMPTION</t>
        </is>
      </c>
      <c r="I163" s="3" t="inlineStr">
        <is>
          <t>Notes Q7 pessimistic floor.</t>
        </is>
      </c>
    </row>
    <row r="164">
      <c r="A164" s="19" t="inlineStr">
        <is>
          <t>th_margin_go</t>
        </is>
      </c>
      <c r="B164" s="3" t="inlineStr">
        <is>
          <t>First-order contribution margin before ads, GO</t>
        </is>
      </c>
      <c r="C164" s="3" t="inlineStr">
        <is>
          <t>% of net revenue</t>
        </is>
      </c>
      <c r="D164" s="24" t="n">
        <v>0.35</v>
      </c>
      <c r="E164" s="24" t="n">
        <v>0.35</v>
      </c>
      <c r="F164" s="24" t="n">
        <v>0.35</v>
      </c>
      <c r="G164" s="25">
        <f>CHOOSE($D$3,D164,E164,F164)</f>
        <v>0.35</v>
      </c>
      <c r="H164" s="16" t="inlineStr">
        <is>
          <t>ASSUMPTION</t>
        </is>
      </c>
      <c r="I164" s="3" t="inlineStr">
        <is>
          <t>Analyst.</t>
        </is>
      </c>
    </row>
    <row r="165">
      <c r="A165" s="19" t="inlineStr">
        <is>
          <t>th_margin_cond</t>
        </is>
      </c>
      <c r="B165" s="3" t="inlineStr">
        <is>
          <t>First-order contribution margin before ads, CONDITIONAL</t>
        </is>
      </c>
      <c r="C165" s="3" t="inlineStr">
        <is>
          <t>% of net revenue</t>
        </is>
      </c>
      <c r="D165" s="24" t="n">
        <v>0.25</v>
      </c>
      <c r="E165" s="24" t="n">
        <v>0.25</v>
      </c>
      <c r="F165" s="24" t="n">
        <v>0.25</v>
      </c>
      <c r="G165" s="25">
        <f>CHOOSE($D$3,D165,E165,F165)</f>
        <v>0.25</v>
      </c>
      <c r="H165" s="16" t="inlineStr">
        <is>
          <t>ASSUMPTION</t>
        </is>
      </c>
      <c r="I165" s="3" t="inlineStr">
        <is>
          <t>Analyst.</t>
        </is>
      </c>
    </row>
    <row r="166">
      <c r="A166" s="19" t="inlineStr">
        <is>
          <t>th_fo_go</t>
        </is>
      </c>
      <c r="B166" s="3" t="inlineStr">
        <is>
          <t>First-order contribution after CAC, GO</t>
        </is>
      </c>
      <c r="C166" s="3" t="inlineStr">
        <is>
          <t>$/new customer</t>
        </is>
      </c>
      <c r="D166" s="22" t="n">
        <v>0</v>
      </c>
      <c r="E166" s="22" t="n">
        <v>0</v>
      </c>
      <c r="F166" s="22" t="n">
        <v>0</v>
      </c>
      <c r="G166" s="23">
        <f>CHOOSE($D$3,D166,E166,F166)</f>
        <v>0.0</v>
      </c>
      <c r="H166" s="16" t="inlineStr">
        <is>
          <t>ASSUMPTION</t>
        </is>
      </c>
      <c r="I166" s="3" t="inlineStr">
        <is>
          <t>First-order breakeven rule (notes Q7).</t>
        </is>
      </c>
    </row>
    <row r="167">
      <c r="A167" s="19" t="inlineStr">
        <is>
          <t>th_fo_cond</t>
        </is>
      </c>
      <c r="B167" s="3" t="inlineStr">
        <is>
          <t>First-order contribution after CAC, CONDITIONAL</t>
        </is>
      </c>
      <c r="C167" s="3" t="inlineStr">
        <is>
          <t>$/new customer</t>
        </is>
      </c>
      <c r="D167" s="22" t="n">
        <v>-10</v>
      </c>
      <c r="E167" s="22" t="n">
        <v>-10</v>
      </c>
      <c r="F167" s="22" t="n">
        <v>-10</v>
      </c>
      <c r="G167" s="23">
        <f>CHOOSE($D$3,D167,E167,F167)</f>
        <v>-10.0</v>
      </c>
      <c r="H167" s="16" t="inlineStr">
        <is>
          <t>ASSUMPTION</t>
        </is>
      </c>
      <c r="I167" s="3" t="inlineStr">
        <is>
          <t>Notes Q7 pessimistic tolerance.</t>
        </is>
      </c>
    </row>
    <row r="168">
      <c r="A168" s="19" t="inlineStr">
        <is>
          <t>th_ren_go</t>
        </is>
      </c>
      <c r="B168" s="3" t="inlineStr">
        <is>
          <t>Contribution per subscription renewal, GO</t>
        </is>
      </c>
      <c r="C168" s="3" t="inlineStr">
        <is>
          <t>$/order</t>
        </is>
      </c>
      <c r="D168" s="22" t="n">
        <v>3</v>
      </c>
      <c r="E168" s="22" t="n">
        <v>3</v>
      </c>
      <c r="F168" s="22" t="n">
        <v>3</v>
      </c>
      <c r="G168" s="23">
        <f>CHOOSE($D$3,D168,E168,F168)</f>
        <v>3.0</v>
      </c>
      <c r="H168" s="16" t="inlineStr">
        <is>
          <t>ASSUMPTION</t>
        </is>
      </c>
      <c r="I168" s="3" t="inlineStr">
        <is>
          <t>Analyst.</t>
        </is>
      </c>
    </row>
    <row r="169">
      <c r="A169" s="19" t="inlineStr">
        <is>
          <t>th_ren_cond</t>
        </is>
      </c>
      <c r="B169" s="3" t="inlineStr">
        <is>
          <t>Contribution per subscription renewal, CONDITIONAL</t>
        </is>
      </c>
      <c r="C169" s="3" t="inlineStr">
        <is>
          <t>$/order</t>
        </is>
      </c>
      <c r="D169" s="22" t="n">
        <v>0</v>
      </c>
      <c r="E169" s="22" t="n">
        <v>0</v>
      </c>
      <c r="F169" s="22" t="n">
        <v>0</v>
      </c>
      <c r="G169" s="23">
        <f>CHOOSE($D$3,D169,E169,F169)</f>
        <v>0.0</v>
      </c>
      <c r="H169" s="16" t="inlineStr">
        <is>
          <t>ASSUMPTION</t>
        </is>
      </c>
      <c r="I169" s="3" t="inlineStr">
        <is>
          <t>Analyst.</t>
        </is>
      </c>
    </row>
    <row r="170">
      <c r="A170" s="5" t="n"/>
      <c r="B170" s="4" t="inlineStr">
        <is>
          <t>O. Launch budget tier drivers - here columns D / E / F = Lean / Moderate / Higher-capital; G = tier chosen in D5</t>
        </is>
      </c>
      <c r="C170" s="5" t="n"/>
      <c r="D170" s="5" t="n"/>
      <c r="E170" s="5" t="n"/>
      <c r="F170" s="5" t="n"/>
      <c r="G170" s="5" t="n"/>
      <c r="H170" s="5" t="n"/>
      <c r="I170" s="5" t="n"/>
    </row>
    <row r="171">
      <c r="A171" s="19" t="inlineStr">
        <is>
          <t>lb_supp</t>
        </is>
      </c>
      <c r="B171" s="3" t="inlineStr">
        <is>
          <t>Suppliers sampled (incl. &gt;=1 non-China OEM)</t>
        </is>
      </c>
      <c r="C171" s="3" t="inlineStr">
        <is>
          <t>suppliers</t>
        </is>
      </c>
      <c r="D171" s="20" t="n">
        <v>3</v>
      </c>
      <c r="E171" s="20" t="n">
        <v>4</v>
      </c>
      <c r="F171" s="20" t="n">
        <v>5</v>
      </c>
      <c r="G171" s="21">
        <f>CHOOSE($D$5,D171,E171,F171)</f>
        <v>3.0</v>
      </c>
      <c r="H171" s="16" t="inlineStr">
        <is>
          <t>ASSUMPTION</t>
        </is>
      </c>
      <c r="I171" s="3" t="inlineStr">
        <is>
          <t>Client default: non-China quotes in parallel.</t>
        </is>
      </c>
    </row>
    <row r="172">
      <c r="A172" s="19" t="inlineStr">
        <is>
          <t>lb_sfee</t>
        </is>
      </c>
      <c r="B172" s="3" t="inlineStr">
        <is>
          <t>Off-the-shelf sample fee</t>
        </is>
      </c>
      <c r="C172" s="3" t="inlineStr">
        <is>
          <t>$/supplier</t>
        </is>
      </c>
      <c r="D172" s="29" t="n">
        <v>50</v>
      </c>
      <c r="E172" s="29" t="n">
        <v>50</v>
      </c>
      <c r="F172" s="29" t="n">
        <v>50</v>
      </c>
      <c r="G172" s="30">
        <f>CHOOSE($D$5,D172,E172,F172)</f>
        <v>50.0</v>
      </c>
      <c r="H172" s="16" t="inlineStr">
        <is>
          <t>ASSUMPTION</t>
        </is>
      </c>
      <c r="I172" s="3" t="inlineStr">
        <is>
          <t>cost_inputs.md Q6: $30-$80.</t>
        </is>
      </c>
    </row>
    <row r="173">
      <c r="A173" s="19" t="inlineStr">
        <is>
          <t>lb_sexp</t>
        </is>
      </c>
      <c r="B173" s="3" t="inlineStr">
        <is>
          <t>Express shipping per sample</t>
        </is>
      </c>
      <c r="C173" s="3" t="inlineStr">
        <is>
          <t>$/supplier</t>
        </is>
      </c>
      <c r="D173" s="29" t="n">
        <v>60</v>
      </c>
      <c r="E173" s="29" t="n">
        <v>60</v>
      </c>
      <c r="F173" s="29" t="n">
        <v>60</v>
      </c>
      <c r="G173" s="30">
        <f>CHOOSE($D$5,D173,E173,F173)</f>
        <v>60.0</v>
      </c>
      <c r="H173" s="16" t="inlineStr">
        <is>
          <t>ASSUMPTION</t>
        </is>
      </c>
      <c r="I173" s="3" t="inlineStr">
        <is>
          <t>cost_inputs.md Q6: $40-$80; express $5-$10/kg.</t>
        </is>
      </c>
    </row>
    <row r="174">
      <c r="A174" s="19" t="inlineStr">
        <is>
          <t>lb_golden</t>
        </is>
      </c>
      <c r="B174" s="3" t="inlineStr">
        <is>
          <t>Customized golden sample</t>
        </is>
      </c>
      <c r="C174" s="3" t="inlineStr">
        <is>
          <t>$ one-time</t>
        </is>
      </c>
      <c r="D174" s="29" t="n">
        <v>300</v>
      </c>
      <c r="E174" s="29" t="n">
        <v>1000</v>
      </c>
      <c r="F174" s="29" t="n">
        <v>2000</v>
      </c>
      <c r="G174" s="30">
        <f>CHOOSE($D$5,D174,E174,F174)</f>
        <v>300.0</v>
      </c>
      <c r="H174" s="3" t="inlineStr">
        <is>
          <t>VENDOR</t>
        </is>
      </c>
      <c r="I174" s="3" t="inlineStr">
        <is>
          <t>$300-$2,000+ (https://www.epicsourcing.co/post/how-much-do-product-samples-cost-sourcing-from-china-usa-2026).</t>
        </is>
      </c>
    </row>
    <row r="175">
      <c r="A175" s="19" t="inlineStr">
        <is>
          <t>lb_pkgdesign</t>
        </is>
      </c>
      <c r="B175" s="3" t="inlineStr">
        <is>
          <t>Packaging design</t>
        </is>
      </c>
      <c r="C175" s="3" t="inlineStr">
        <is>
          <t>$ one-time</t>
        </is>
      </c>
      <c r="D175" s="29" t="n">
        <v>500</v>
      </c>
      <c r="E175" s="29" t="n">
        <v>1500</v>
      </c>
      <c r="F175" s="29" t="n">
        <v>3000</v>
      </c>
      <c r="G175" s="30">
        <f>CHOOSE($D$5,D175,E175,F175)</f>
        <v>500.0</v>
      </c>
      <c r="H175" s="16" t="inlineStr">
        <is>
          <t>ASSUMPTION</t>
        </is>
      </c>
      <c r="I175" s="3" t="inlineStr">
        <is>
          <t>No source.</t>
        </is>
      </c>
    </row>
    <row r="176">
      <c r="A176" s="19" t="inlineStr">
        <is>
          <t>lb_brand</t>
        </is>
      </c>
      <c r="B176" s="3" t="inlineStr">
        <is>
          <t>Brand identity, site theme, launch creative setup</t>
        </is>
      </c>
      <c r="C176" s="3" t="inlineStr">
        <is>
          <t>$ one-time</t>
        </is>
      </c>
      <c r="D176" s="29" t="n">
        <v>500</v>
      </c>
      <c r="E176" s="29" t="n">
        <v>2000</v>
      </c>
      <c r="F176" s="29" t="n">
        <v>5000</v>
      </c>
      <c r="G176" s="30">
        <f>CHOOSE($D$5,D176,E176,F176)</f>
        <v>500.0</v>
      </c>
      <c r="H176" s="16" t="inlineStr">
        <is>
          <t>ASSUMPTION</t>
        </is>
      </c>
      <c r="I176" s="3" t="inlineStr">
        <is>
          <t>No source.</t>
        </is>
      </c>
    </row>
    <row r="177">
      <c r="A177" s="19" t="inlineStr">
        <is>
          <t>lb_moq</t>
        </is>
      </c>
      <c r="B177" s="3" t="inlineStr">
        <is>
          <t>Fountain MOQ ordered</t>
        </is>
      </c>
      <c r="C177" s="3" t="inlineStr">
        <is>
          <t>units</t>
        </is>
      </c>
      <c r="D177" s="20" t="n">
        <v>500</v>
      </c>
      <c r="E177" s="20" t="n">
        <v>750</v>
      </c>
      <c r="F177" s="20" t="n">
        <v>1000</v>
      </c>
      <c r="G177" s="21">
        <f>CHOOSE($D$5,D177,E177,F177)</f>
        <v>500.0</v>
      </c>
      <c r="H177" s="16" t="inlineStr">
        <is>
          <t>ASSUMPTION</t>
        </is>
      </c>
      <c r="I177" s="3" t="inlineStr">
        <is>
          <t>Client default 500-1,000 after creative win + passed samples.</t>
        </is>
      </c>
    </row>
    <row r="178">
      <c r="A178" s="19" t="inlineStr">
        <is>
          <t>lb_filters</t>
        </is>
      </c>
      <c r="B178" s="3" t="inlineStr">
        <is>
          <t>Filters bought for US stock</t>
        </is>
      </c>
      <c r="C178" s="3" t="inlineStr">
        <is>
          <t>filters</t>
        </is>
      </c>
      <c r="D178" s="20" t="n">
        <v>1000</v>
      </c>
      <c r="E178" s="20" t="n">
        <v>1600</v>
      </c>
      <c r="F178" s="20" t="n">
        <v>3000</v>
      </c>
      <c r="G178" s="21">
        <f>CHOOSE($D$5,D178,E178,F178)</f>
        <v>1000.0</v>
      </c>
      <c r="H178" s="16" t="inlineStr">
        <is>
          <t>ASSUMPTION</t>
        </is>
      </c>
      <c r="I178" s="3" t="inlineStr">
        <is>
          <t>CP3 Sec.4: 500-1,600 filters ~$250-$950.</t>
        </is>
      </c>
    </row>
    <row r="179">
      <c r="A179" s="19" t="inlineStr">
        <is>
          <t>lb_mats</t>
        </is>
      </c>
      <c r="B179" s="3" t="inlineStr">
        <is>
          <t>Litter mats bought</t>
        </is>
      </c>
      <c r="C179" s="3" t="inlineStr">
        <is>
          <t>units</t>
        </is>
      </c>
      <c r="D179" s="20" t="n">
        <v>0</v>
      </c>
      <c r="E179" s="20" t="n">
        <v>200</v>
      </c>
      <c r="F179" s="20" t="n">
        <v>500</v>
      </c>
      <c r="G179" s="21">
        <f>CHOOSE($D$5,D179,E179,F179)</f>
        <v>0.0</v>
      </c>
      <c r="H179" s="16" t="inlineStr">
        <is>
          <t>ASSUMPTION</t>
        </is>
      </c>
      <c r="I179" s="3" t="inlineStr">
        <is>
          <t>Lean skips mats.</t>
        </is>
      </c>
    </row>
    <row r="180">
      <c r="A180" s="19" t="inlineStr">
        <is>
          <t>lb_mold</t>
        </is>
      </c>
      <c r="B180" s="3" t="inlineStr">
        <is>
          <t>Custom filter-frame mold</t>
        </is>
      </c>
      <c r="C180" s="3" t="inlineStr">
        <is>
          <t>$ one-time</t>
        </is>
      </c>
      <c r="D180" s="29" t="n">
        <v>0</v>
      </c>
      <c r="E180" s="29" t="n">
        <v>0</v>
      </c>
      <c r="F180" s="29" t="n">
        <v>4000</v>
      </c>
      <c r="G180" s="30">
        <f>CHOOSE($D$5,D180,E180,F180)</f>
        <v>0.0</v>
      </c>
      <c r="H180" s="16" t="inlineStr">
        <is>
          <t>ASSUMPTION</t>
        </is>
      </c>
      <c r="I180" s="3" t="inlineStr">
        <is>
          <t>cost_inputs.md Q6: aluminum $1,000-$5,000; base $4,000. Later-stage lock-in project.</t>
        </is>
      </c>
    </row>
    <row r="181">
      <c r="A181" s="19" t="inlineStr">
        <is>
          <t>lb_test_ad</t>
        </is>
      </c>
      <c r="B181" s="3" t="inlineStr">
        <is>
          <t>Test-stage ad spend per month</t>
        </is>
      </c>
      <c r="C181" s="3" t="inlineStr">
        <is>
          <t>$/month</t>
        </is>
      </c>
      <c r="D181" s="29" t="n">
        <v>1000</v>
      </c>
      <c r="E181" s="29" t="n">
        <v>2000</v>
      </c>
      <c r="F181" s="29" t="n">
        <v>4000</v>
      </c>
      <c r="G181" s="30">
        <f>CHOOSE($D$5,D181,E181,F181)</f>
        <v>1000.0</v>
      </c>
      <c r="H181" s="16" t="inlineStr">
        <is>
          <t>ASSUMPTION</t>
        </is>
      </c>
      <c r="I181" s="3" t="inlineStr">
        <is>
          <t>Client default: lean test budget.</t>
        </is>
      </c>
    </row>
    <row r="182">
      <c r="A182" s="19" t="inlineStr">
        <is>
          <t>lb_test_months</t>
        </is>
      </c>
      <c r="B182" s="3" t="inlineStr">
        <is>
          <t>Test months (AliExpress creative test)</t>
        </is>
      </c>
      <c r="C182" s="3" t="inlineStr">
        <is>
          <t>months</t>
        </is>
      </c>
      <c r="D182" s="20" t="n">
        <v>3</v>
      </c>
      <c r="E182" s="20" t="n">
        <v>3</v>
      </c>
      <c r="F182" s="20" t="n">
        <v>3</v>
      </c>
      <c r="G182" s="21">
        <f>CHOOSE($D$5,D182,E182,F182)</f>
        <v>3.0</v>
      </c>
      <c r="H182" s="16" t="inlineStr">
        <is>
          <t>ASSUMPTION</t>
        </is>
      </c>
      <c r="I182" s="3" t="inlineStr">
        <is>
          <t>Months 1-3.</t>
        </is>
      </c>
    </row>
    <row r="183">
      <c r="A183" s="19" t="inlineStr">
        <is>
          <t>lb_months_pl</t>
        </is>
      </c>
      <c r="B183" s="3" t="inlineStr">
        <is>
          <t>Months from launch to first private-label sale</t>
        </is>
      </c>
      <c r="C183" s="3" t="inlineStr">
        <is>
          <t>months</t>
        </is>
      </c>
      <c r="D183" s="20" t="n">
        <v>5</v>
      </c>
      <c r="E183" s="20" t="n">
        <v>5</v>
      </c>
      <c r="F183" s="20" t="n">
        <v>4</v>
      </c>
      <c r="G183" s="21">
        <f>CHOOSE($D$5,D183,E183,F183)</f>
        <v>5.0</v>
      </c>
      <c r="H183" s="16" t="inlineStr">
        <is>
          <t>ASSUMPTION</t>
        </is>
      </c>
      <c r="I183" s="3" t="inlineStr">
        <is>
          <t>Test 3 months + 15-20 working days production + 18-24 days LCL (CP3; cost_inputs.md Q3).</t>
        </is>
      </c>
    </row>
    <row r="184">
      <c r="A184" s="19" t="inlineStr">
        <is>
          <t>lb_ugc_videos</t>
        </is>
      </c>
      <c r="B184" s="3" t="inlineStr">
        <is>
          <t>UGC videos per month</t>
        </is>
      </c>
      <c r="C184" s="3" t="inlineStr">
        <is>
          <t>videos</t>
        </is>
      </c>
      <c r="D184" s="20" t="n">
        <v>4</v>
      </c>
      <c r="E184" s="20" t="n">
        <v>8</v>
      </c>
      <c r="F184" s="20" t="n">
        <v>12</v>
      </c>
      <c r="G184" s="21">
        <f>CHOOSE($D$5,D184,E184,F184)</f>
        <v>4.0</v>
      </c>
      <c r="H184" s="16" t="inlineStr">
        <is>
          <t>ASSUMPTION</t>
        </is>
      </c>
      <c r="I184" s="3" t="inlineStr">
        <is>
          <t>Lean = 4 Billo-style videos (cost_inputs.md Q7).</t>
        </is>
      </c>
    </row>
    <row r="185">
      <c r="A185" s="19" t="inlineStr">
        <is>
          <t>lb_post_ad</t>
        </is>
      </c>
      <c r="B185" s="3" t="inlineStr">
        <is>
          <t>Post-launch (private-label) ad spend per month</t>
        </is>
      </c>
      <c r="C185" s="3" t="inlineStr">
        <is>
          <t>$/month</t>
        </is>
      </c>
      <c r="D185" s="29" t="n">
        <v>1500</v>
      </c>
      <c r="E185" s="29" t="n">
        <v>3000</v>
      </c>
      <c r="F185" s="29" t="n">
        <v>6000</v>
      </c>
      <c r="G185" s="30">
        <f>CHOOSE($D$5,D185,E185,F185)</f>
        <v>1500.0</v>
      </c>
      <c r="H185" s="16" t="inlineStr">
        <is>
          <t>ASSUMPTION</t>
        </is>
      </c>
      <c r="I185" s="3" t="inlineStr">
        <is>
          <t>No source.</t>
        </is>
      </c>
    </row>
    <row r="186">
      <c r="A186" s="19" t="inlineStr">
        <is>
          <t>lb_cash</t>
        </is>
      </c>
      <c r="B186" s="3" t="inlineStr">
        <is>
          <t>Cash available to the project</t>
        </is>
      </c>
      <c r="C186" s="3" t="inlineStr">
        <is>
          <t>$</t>
        </is>
      </c>
      <c r="D186" s="29" t="n">
        <v>15000</v>
      </c>
      <c r="E186" s="29" t="n">
        <v>30000</v>
      </c>
      <c r="F186" s="29" t="n">
        <v>60000</v>
      </c>
      <c r="G186" s="30">
        <f>CHOOSE($D$5,D186,E186,F186)</f>
        <v>15000.0</v>
      </c>
      <c r="H186" s="16" t="inlineStr">
        <is>
          <t>ASSUMPTION</t>
        </is>
      </c>
      <c r="I186" s="3" t="inlineStr">
        <is>
          <t>Client budget not stated; placeholder.</t>
        </is>
      </c>
    </row>
    <row r="187">
      <c r="A187" s="19" t="inlineStr">
        <is>
          <t>lb_cont</t>
        </is>
      </c>
      <c r="B187" s="3" t="inlineStr">
        <is>
          <t>Contingency on one-time costs</t>
        </is>
      </c>
      <c r="C187" s="3" t="inlineStr">
        <is>
          <t>%</t>
        </is>
      </c>
      <c r="D187" s="24" t="n">
        <v>0.1</v>
      </c>
      <c r="E187" s="24" t="n">
        <v>0.15</v>
      </c>
      <c r="F187" s="24" t="n">
        <v>0.15</v>
      </c>
      <c r="G187" s="25">
        <f>CHOOSE($D$5,D187,E187,F187)</f>
        <v>0.1</v>
      </c>
      <c r="H187" s="16" t="inlineStr">
        <is>
          <t>ASSUMPTION</t>
        </is>
      </c>
      <c r="I187" s="3" t="inlineStr">
        <is>
          <t>Analyst.</t>
        </is>
      </c>
    </row>
    <row r="188">
      <c r="A188" s="5" t="n"/>
      <c r="B188" s="4" t="inlineStr">
        <is>
          <t>P. Repositioning variants (Repositioned sheet uses the Base column E; values identical across columns)</t>
        </is>
      </c>
      <c r="C188" s="5" t="n"/>
      <c r="D188" s="5" t="n"/>
      <c r="E188" s="5" t="n"/>
      <c r="F188" s="5" t="n"/>
      <c r="G188" s="5" t="n"/>
      <c r="H188" s="5" t="n"/>
      <c r="I188" s="5" t="n"/>
    </row>
    <row r="189">
      <c r="A189" s="19" t="inlineStr">
        <is>
          <t>rp_r1_price</t>
        </is>
      </c>
      <c r="B189" s="3" t="inlineStr">
        <is>
          <t>R1 premium 'easy-clean' fountain system price (free shipping)</t>
        </is>
      </c>
      <c r="C189" s="3" t="inlineStr">
        <is>
          <t>$/system</t>
        </is>
      </c>
      <c r="D189" s="22" t="n">
        <v>79</v>
      </c>
      <c r="E189" s="22" t="n">
        <v>79</v>
      </c>
      <c r="F189" s="22" t="n">
        <v>79</v>
      </c>
      <c r="G189" s="23">
        <f>CHOOSE($D$3,D189,E189,F189)</f>
        <v>79.0</v>
      </c>
      <c r="H189" s="16" t="inlineStr">
        <is>
          <t>ASSUMPTION</t>
        </is>
      </c>
      <c r="I189" s="3" t="inlineStr">
        <is>
          <t>Coordinator test price; between Petlibro Dockstream $60.89-$62.99 and Drinkwell Seascape $95.99 (Cats.com, Sep 18 2026).</t>
        </is>
      </c>
    </row>
    <row r="190">
      <c r="A190" s="19" t="inlineStr">
        <is>
          <t>rp_incl_filters</t>
        </is>
      </c>
      <c r="B190" s="3" t="inlineStr">
        <is>
          <t>Filters included in the system (6-month supply)</t>
        </is>
      </c>
      <c r="C190" s="3" t="inlineStr">
        <is>
          <t>filters</t>
        </is>
      </c>
      <c r="D190" s="20" t="n">
        <v>12</v>
      </c>
      <c r="E190" s="20" t="n">
        <v>12</v>
      </c>
      <c r="F190" s="20" t="n">
        <v>12</v>
      </c>
      <c r="G190" s="21">
        <f>CHOOSE($D$3,D190,E190,F190)</f>
        <v>12.0</v>
      </c>
      <c r="H190" s="16" t="inlineStr">
        <is>
          <t>ASSUMPTION</t>
        </is>
      </c>
      <c r="I190" s="3" t="inlineStr">
        <is>
          <t>Coordinator spec.</t>
        </is>
      </c>
    </row>
    <row r="191">
      <c r="A191" s="19" t="inlineStr">
        <is>
          <t>rp_supply_months</t>
        </is>
      </c>
      <c r="B191" s="3" t="inlineStr">
        <is>
          <t>Months covered by the included filter supply</t>
        </is>
      </c>
      <c r="C191" s="3" t="inlineStr">
        <is>
          <t>months</t>
        </is>
      </c>
      <c r="D191" s="20" t="n">
        <v>6</v>
      </c>
      <c r="E191" s="20" t="n">
        <v>6</v>
      </c>
      <c r="F191" s="20" t="n">
        <v>6</v>
      </c>
      <c r="G191" s="21">
        <f>CHOOSE($D$3,D191,E191,F191)</f>
        <v>6.0</v>
      </c>
      <c r="H191" s="16" t="inlineStr">
        <is>
          <t>ASSUMPTION</t>
        </is>
      </c>
      <c r="I191" s="3" t="inlineStr">
        <is>
          <t>First filter renewal / repeat order moves to month 7.</t>
        </is>
      </c>
    </row>
    <row r="192">
      <c r="A192" s="19" t="inlineStr">
        <is>
          <t>rp_brush</t>
        </is>
      </c>
      <c r="B192" s="3" t="inlineStr">
        <is>
          <t>Cleaning brush landed cost</t>
        </is>
      </c>
      <c r="C192" s="3" t="inlineStr">
        <is>
          <t>$/unit</t>
        </is>
      </c>
      <c r="D192" s="22" t="n">
        <v>1.5</v>
      </c>
      <c r="E192" s="22" t="n">
        <v>1.5</v>
      </c>
      <c r="F192" s="22" t="n">
        <v>1.5</v>
      </c>
      <c r="G192" s="23">
        <f>CHOOSE($D$3,D192,E192,F192)</f>
        <v>1.5</v>
      </c>
      <c r="H192" s="16" t="inlineStr">
        <is>
          <t>ASSUMPTION</t>
        </is>
      </c>
      <c r="I192" s="3" t="inlineStr">
        <is>
          <t>Coordinator spec (~$1.50).</t>
        </is>
      </c>
    </row>
    <row r="193">
      <c r="A193" s="19" t="inlineStr">
        <is>
          <t>rp_extra_picks</t>
        </is>
      </c>
      <c r="B193" s="3" t="inlineStr">
        <is>
          <t>Extra 3PL picks to kit filters + brush into the system order</t>
        </is>
      </c>
      <c r="C193" s="3" t="inlineStr">
        <is>
          <t>items</t>
        </is>
      </c>
      <c r="D193" s="20" t="n">
        <v>2</v>
      </c>
      <c r="E193" s="20" t="n">
        <v>2</v>
      </c>
      <c r="F193" s="20" t="n">
        <v>2</v>
      </c>
      <c r="G193" s="21">
        <f>CHOOSE($D$3,D193,E193,F193)</f>
        <v>2.0</v>
      </c>
      <c r="H193" s="16" t="inlineStr">
        <is>
          <t>ASSUMPTION</t>
        </is>
      </c>
      <c r="I193" s="3" t="inlineStr">
        <is>
          <t>Conservative: filters and brush come from other suppliers and are kitted at the 3PL.</t>
        </is>
      </c>
    </row>
    <row r="194">
      <c r="A194" s="19" t="inlineStr">
        <is>
          <t>rp_r2_pack</t>
        </is>
      </c>
      <c r="B194" s="3" t="inlineStr">
        <is>
          <t>R2 filters per subscription pack</t>
        </is>
      </c>
      <c r="C194" s="3" t="inlineStr">
        <is>
          <t>filters</t>
        </is>
      </c>
      <c r="D194" s="20" t="n">
        <v>12</v>
      </c>
      <c r="E194" s="20" t="n">
        <v>12</v>
      </c>
      <c r="F194" s="20" t="n">
        <v>12</v>
      </c>
      <c r="G194" s="21">
        <f>CHOOSE($D$3,D194,E194,F194)</f>
        <v>12.0</v>
      </c>
      <c r="H194" s="16" t="inlineStr">
        <is>
          <t>ASSUMPTION</t>
        </is>
      </c>
      <c r="I194" s="3" t="inlineStr">
        <is>
          <t>Coordinator spec: 6-month 12-filter pack.</t>
        </is>
      </c>
    </row>
    <row r="195">
      <c r="A195" s="19" t="inlineStr">
        <is>
          <t>rp_r2_price</t>
        </is>
      </c>
      <c r="B195" s="3" t="inlineStr">
        <is>
          <t>R2 12-filter pack subscription price</t>
        </is>
      </c>
      <c r="C195" s="3" t="inlineStr">
        <is>
          <t>$/pack</t>
        </is>
      </c>
      <c r="D195" s="22" t="n">
        <v>29.99</v>
      </c>
      <c r="E195" s="22" t="n">
        <v>29.99</v>
      </c>
      <c r="F195" s="22" t="n">
        <v>29.99</v>
      </c>
      <c r="G195" s="23">
        <f>CHOOSE($D$3,D195,E195,F195)</f>
        <v>29.99</v>
      </c>
      <c r="H195" s="16" t="inlineStr">
        <is>
          <t>ASSUMPTION</t>
        </is>
      </c>
      <c r="I195" s="3" t="inlineStr">
        <is>
          <t>Coordinator spec. $2.50/filter, under the Petlibro ~$2.62 anchor.</t>
        </is>
      </c>
    </row>
    <row r="196">
      <c r="A196" s="19" t="inlineStr">
        <is>
          <t>rp_r2_onetime</t>
        </is>
      </c>
      <c r="B196" s="3" t="inlineStr">
        <is>
          <t>R2 12-filter pack one-time price</t>
        </is>
      </c>
      <c r="C196" s="3" t="inlineStr">
        <is>
          <t>$/pack</t>
        </is>
      </c>
      <c r="D196" s="22" t="n">
        <v>32.99</v>
      </c>
      <c r="E196" s="22" t="n">
        <v>32.99</v>
      </c>
      <c r="F196" s="22" t="n">
        <v>32.99</v>
      </c>
      <c r="G196" s="23">
        <f>CHOOSE($D$3,D196,E196,F196)</f>
        <v>32.99</v>
      </c>
      <c r="H196" s="16" t="inlineStr">
        <is>
          <t>ASSUMPTION</t>
        </is>
      </c>
      <c r="I196" s="3" t="inlineStr">
        <is>
          <t>About 10% above the subscription price.</t>
        </is>
      </c>
    </row>
    <row r="197">
      <c r="A197" s="19" t="inlineStr">
        <is>
          <t>rp_r2_cadence</t>
        </is>
      </c>
      <c r="B197" s="3" t="inlineStr">
        <is>
          <t>R2 subscription cadence</t>
        </is>
      </c>
      <c r="C197" s="3" t="inlineStr">
        <is>
          <t>months</t>
        </is>
      </c>
      <c r="D197" s="20" t="n">
        <v>6</v>
      </c>
      <c r="E197" s="20" t="n">
        <v>6</v>
      </c>
      <c r="F197" s="20" t="n">
        <v>6</v>
      </c>
      <c r="G197" s="21">
        <f>CHOOSE($D$3,D197,E197,F197)</f>
        <v>6.0</v>
      </c>
      <c r="H197" s="16" t="inlineStr">
        <is>
          <t>ASSUMPTION</t>
        </is>
      </c>
      <c r="I197" s="3" t="inlineStr">
        <is>
          <t>Every 180 days.</t>
        </is>
      </c>
    </row>
    <row r="198">
      <c r="A198" s="19" t="inlineStr">
        <is>
          <t>rp_r2_occ_interval</t>
        </is>
      </c>
      <c r="B198" s="3" t="inlineStr">
        <is>
          <t>R2 occasional repeat buyers: months between 12-packs</t>
        </is>
      </c>
      <c r="C198" s="3" t="inlineStr">
        <is>
          <t>months</t>
        </is>
      </c>
      <c r="D198" s="20" t="n">
        <v>8</v>
      </c>
      <c r="E198" s="20" t="n">
        <v>8</v>
      </c>
      <c r="F198" s="20" t="n">
        <v>8</v>
      </c>
      <c r="G198" s="21">
        <f>CHOOSE($D$3,D198,E198,F198)</f>
        <v>8.0</v>
      </c>
      <c r="H198" s="16" t="inlineStr">
        <is>
          <t>ASSUMPTION</t>
        </is>
      </c>
      <c r="I198" s="3" t="inlineStr">
        <is>
          <t>Double the base 4-month interval for a pack twice the size.</t>
        </is>
      </c>
    </row>
    <row r="199">
      <c r="A199" s="19" t="inlineStr">
        <is>
          <t>rp_post_1lb</t>
        </is>
      </c>
      <c r="B199" s="3" t="inlineStr">
        <is>
          <t>Postage: 12-filter pack (1 lb)</t>
        </is>
      </c>
      <c r="C199" s="3" t="inlineStr">
        <is>
          <t>$/order</t>
        </is>
      </c>
      <c r="D199" s="26">
        <f>AVERAGE(E77,F77)</f>
        <v>10.254999999999999</v>
      </c>
      <c r="E199" s="26">
        <f>E77</f>
        <v>9.29</v>
      </c>
      <c r="F199" s="26">
        <f>E77/(1+F81)</f>
        <v>8.601851851851851</v>
      </c>
      <c r="G199" s="23">
        <f>CHOOSE($D$3,D199,E199,F199)</f>
        <v>9.29</v>
      </c>
      <c r="H199" s="3" t="inlineStr">
        <is>
          <t>ESTIMATE</t>
        </is>
      </c>
      <c r="I199" s="3" t="inlineStr">
        <is>
          <t>Coordinator spec: 1 lb. From the rate card (Zone 5 in Base).</t>
        </is>
      </c>
    </row>
    <row r="200">
      <c r="A200" s="19" t="inlineStr">
        <is>
          <t>rp_cpa_cut</t>
        </is>
      </c>
      <c r="B200" s="3" t="inlineStr">
        <is>
          <t>R3 blended CPA reduction from affiliate / organic share</t>
        </is>
      </c>
      <c r="C200" s="3" t="inlineStr">
        <is>
          <t>%</t>
        </is>
      </c>
      <c r="D200" s="24" t="n">
        <v>0.35</v>
      </c>
      <c r="E200" s="24" t="n">
        <v>0.35</v>
      </c>
      <c r="F200" s="24" t="n">
        <v>0.35</v>
      </c>
      <c r="G200" s="25">
        <f>CHOOSE($D$3,D200,E200,F200)</f>
        <v>0.35</v>
      </c>
      <c r="H200" s="16" t="inlineStr">
        <is>
          <t>ASSUMPTION</t>
        </is>
      </c>
      <c r="I200" s="3" t="inlineStr">
        <is>
          <t>Coordinator spec.</t>
        </is>
      </c>
    </row>
    <row r="201">
      <c r="A201" s="19" t="inlineStr">
        <is>
          <t>rp_aff_share</t>
        </is>
      </c>
      <c r="B201" s="3" t="inlineStr">
        <is>
          <t>R3 share of first orders that are affiliate-sourced</t>
        </is>
      </c>
      <c r="C201" s="3" t="inlineStr">
        <is>
          <t>%</t>
        </is>
      </c>
      <c r="D201" s="24" t="n">
        <v>0.4</v>
      </c>
      <c r="E201" s="24" t="n">
        <v>0.4</v>
      </c>
      <c r="F201" s="24" t="n">
        <v>0.4</v>
      </c>
      <c r="G201" s="25">
        <f>CHOOSE($D$3,D201,E201,F201)</f>
        <v>0.4</v>
      </c>
      <c r="H201" s="16" t="inlineStr">
        <is>
          <t>ASSUMPTION</t>
        </is>
      </c>
      <c r="I201" s="3" t="inlineStr">
        <is>
          <t>Coordinator spec.</t>
        </is>
      </c>
    </row>
    <row r="202">
      <c r="A202" s="19" t="inlineStr">
        <is>
          <t>rp_aff_comm</t>
        </is>
      </c>
      <c r="B202" s="3" t="inlineStr">
        <is>
          <t>R3 affiliate commission on affiliate-sourced first orders</t>
        </is>
      </c>
      <c r="C202" s="3" t="inlineStr">
        <is>
          <t>%</t>
        </is>
      </c>
      <c r="D202" s="24" t="n">
        <v>0.15</v>
      </c>
      <c r="E202" s="24" t="n">
        <v>0.15</v>
      </c>
      <c r="F202" s="24" t="n">
        <v>0.15</v>
      </c>
      <c r="G202" s="25">
        <f>CHOOSE($D$3,D202,E202,F202)</f>
        <v>0.15</v>
      </c>
      <c r="H202" s="16" t="inlineStr">
        <is>
          <t>ASSUMPTION</t>
        </is>
      </c>
      <c r="I202" s="3" t="inlineStr">
        <is>
          <t>Petlibro-style (up to 18%; 14% on FlexOffers). Applied to first-order revenue only (30-day cookie), replacing the base affiliate line.</t>
        </is>
      </c>
    </row>
    <row r="203">
      <c r="A203" s="19" t="inlineStr">
        <is>
          <t>rp_nc_premium</t>
        </is>
      </c>
      <c r="B203" s="3" t="inlineStr">
        <is>
          <t>R4 non-China OEM FOB premium vs China OEM</t>
        </is>
      </c>
      <c r="C203" s="3" t="inlineStr">
        <is>
          <t>%</t>
        </is>
      </c>
      <c r="D203" s="24" t="n">
        <v>0.2</v>
      </c>
      <c r="E203" s="24" t="n">
        <v>0.2</v>
      </c>
      <c r="F203" s="24" t="n">
        <v>0.2</v>
      </c>
      <c r="G203" s="25">
        <f>CHOOSE($D$3,D203,E203,F203)</f>
        <v>0.2</v>
      </c>
      <c r="H203" s="16" t="inlineStr">
        <is>
          <t>ASSUMPTION</t>
        </is>
      </c>
      <c r="I203" s="3" t="inlineStr">
        <is>
          <t>No non-China quote yet (client default: request in parallel). R4 unit cost = base OEM FOB x (1 + premium) - an ASSUMPTION.</t>
        </is>
      </c>
    </row>
    <row r="204">
      <c r="A204" s="19" t="inlineStr">
        <is>
          <t>rp_nc_duty</t>
        </is>
      </c>
      <c r="B204" s="3" t="inlineStr">
        <is>
          <t>R4 fountain duty at non-China origin (HTS 8413.70.2004 MFN Free; no Section 301)</t>
        </is>
      </c>
      <c r="C204" s="3" t="inlineStr">
        <is>
          <t>% of FOB</t>
        </is>
      </c>
      <c r="D204" s="24" t="n">
        <v>0</v>
      </c>
      <c r="E204" s="24" t="n">
        <v>0</v>
      </c>
      <c r="F204" s="24" t="n">
        <v>0</v>
      </c>
      <c r="G204" s="25">
        <f>CHOOSE($D$3,D204,E204,F204)</f>
        <v>0.0</v>
      </c>
      <c r="H204" s="16" t="inlineStr">
        <is>
          <t>ASSUMPTION</t>
        </is>
      </c>
      <c r="I204" s="3" t="inlineStr">
        <is>
          <t>MFN Free per CBP N303286; no 301 only if origin is genuinely non-China (substantial transformation). Filters stay China-sourced at 37.5%.</t>
        </is>
      </c>
    </row>
    <row r="205">
      <c r="A205" s="19" t="inlineStr">
        <is>
          <t>rp_r5_price</t>
        </is>
      </c>
      <c r="B205" s="3" t="inlineStr">
        <is>
          <t>R5 espresso Dedica kit test price</t>
        </is>
      </c>
      <c r="C205" s="3" t="inlineStr">
        <is>
          <t>$/kit</t>
        </is>
      </c>
      <c r="D205" s="22" t="n">
        <v>99</v>
      </c>
      <c r="E205" s="22" t="n">
        <v>99</v>
      </c>
      <c r="F205" s="22" t="n">
        <v>99</v>
      </c>
      <c r="G205" s="23">
        <f>CHOOSE($D$3,D205,E205,F205)</f>
        <v>99.0</v>
      </c>
      <c r="H205" s="16" t="inlineStr">
        <is>
          <t>ASSUMPTION</t>
        </is>
      </c>
      <c r="I205" s="3" t="inlineStr">
        <is>
          <t>Coordinator spec.</t>
        </is>
      </c>
    </row>
  </sheetData>
  <dataValidations count="2">
    <dataValidation sqref="D3 D5" showDropDown="0" showInputMessage="0" showErrorMessage="0" allowBlank="0" type="whole" operator="between">
      <formula1>1</formula1>
      <formula2>3</formula2>
    </dataValidation>
    <dataValidation sqref="D4" showDropDown="0" showInputMessage="0" showErrorMessage="0" allowBlank="0" type="whole" operator="between">
      <formula1>1</formula1>
      <formula2>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4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3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3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3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3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3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3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3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3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3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3" customWidth="1" min="61" max="61"/>
  </cols>
  <sheetData>
    <row r="1">
      <c r="A1" s="15" t="inlineStr">
        <is>
          <t>Cat_UnitEcon: per-order contribution, cat home (BASE CASE)</t>
        </is>
      </c>
    </row>
    <row r="2">
      <c r="A2" s="2" t="inlineStr">
        <is>
          <t>Group 1 (columns B-F) follows the scenario selector. Groups to the right are the engine for Scenarios and Sensitivity: identical formulas pointing at a fixed Inputs column, some with a shock multiplier.</t>
        </is>
      </c>
    </row>
    <row r="3">
      <c r="A3" s="2" t="inlineStr">
        <is>
          <t>Costs shown as negatives. Contribution = net revenue less all variable costs (product, fulfillment, postage, payments, warranty, returns, chargebacks, affiliates). Fixed costs (apps, 3PL storage, UGC) are in Launch_Budget.</t>
        </is>
      </c>
    </row>
    <row r="5">
      <c r="A5" s="16" t="inlineStr">
        <is>
          <t>Scenario group</t>
        </is>
      </c>
      <c r="B5" s="18" t="str">
        <f>"SELECTED scenario: "&amp;Inputs!$E$3</f>
        <v>SELECTED scenario: Base</v>
      </c>
      <c r="H5" s="18" t="inlineStr">
        <is>
          <t>PESSIMISTIC (engine)</t>
        </is>
      </c>
      <c r="N5" s="18" t="inlineStr">
        <is>
          <t>BASE (engine)</t>
        </is>
      </c>
      <c r="T5" s="18" t="inlineStr">
        <is>
          <t>OPTIMISTIC (engine)</t>
        </is>
      </c>
      <c r="Z5" s="18" t="inlineStr">
        <is>
          <t>BASE + CPA shock (sensitivity)</t>
        </is>
      </c>
      <c r="AF5" s="18" t="inlineStr">
        <is>
          <t>BASE + supplier/COGS shock (sensitivity)</t>
        </is>
      </c>
      <c r="AL5" s="18" t="inlineStr">
        <is>
          <t>BASE + shipping shock (sensitivity)</t>
        </is>
      </c>
      <c r="AR5" s="18" t="inlineStr">
        <is>
          <t>BASE + subscription-attach shock (sensitivity)</t>
        </is>
      </c>
      <c r="AX5" s="18" t="inlineStr">
        <is>
          <t>BASE + churn shock (sensitivity)</t>
        </is>
      </c>
      <c r="BD5" s="18" t="inlineStr">
        <is>
          <t>BASE + returns shock (sensitivity)</t>
        </is>
      </c>
    </row>
    <row r="6">
      <c r="A6" s="2" t="inlineStr">
        <is>
          <t>Inputs column used</t>
        </is>
      </c>
      <c r="B6" s="2" t="inlineStr">
        <is>
          <t>G = Selected</t>
        </is>
      </c>
      <c r="H6" s="2" t="inlineStr">
        <is>
          <t>D = Pessimistic</t>
        </is>
      </c>
      <c r="N6" s="2" t="inlineStr">
        <is>
          <t>E = Base</t>
        </is>
      </c>
      <c r="T6" s="2" t="inlineStr">
        <is>
          <t>F = Optimistic</t>
        </is>
      </c>
      <c r="Z6" s="2" t="inlineStr">
        <is>
          <t>E = Base</t>
        </is>
      </c>
      <c r="AF6" s="2" t="inlineStr">
        <is>
          <t>E = Base</t>
        </is>
      </c>
      <c r="AL6" s="2" t="inlineStr">
        <is>
          <t>E = Base</t>
        </is>
      </c>
      <c r="AR6" s="2" t="inlineStr">
        <is>
          <t>E = Base</t>
        </is>
      </c>
      <c r="AX6" s="2" t="inlineStr">
        <is>
          <t>E = Base</t>
        </is>
      </c>
      <c r="BD6" s="2" t="inlineStr">
        <is>
          <t>E = Base</t>
        </is>
      </c>
    </row>
    <row r="7">
      <c r="A7" s="2" t="inlineStr">
        <is>
          <t>Multiplier - paid CPA</t>
        </is>
      </c>
      <c r="B7" s="37" t="n">
        <v>1</v>
      </c>
      <c r="H7" s="37" t="n">
        <v>1</v>
      </c>
      <c r="N7" s="37" t="n">
        <v>1</v>
      </c>
      <c r="T7" s="37" t="n">
        <v>1</v>
      </c>
      <c r="Z7" s="37">
        <f>1+Sensitivity!$C$5</f>
        <v>1.3</v>
      </c>
      <c r="AF7" s="37" t="n">
        <v>1</v>
      </c>
      <c r="AL7" s="37" t="n">
        <v>1</v>
      </c>
      <c r="AR7" s="37" t="n">
        <v>1</v>
      </c>
      <c r="AX7" s="37" t="n">
        <v>1</v>
      </c>
      <c r="BD7" s="37" t="n">
        <v>1</v>
      </c>
    </row>
    <row r="8">
      <c r="A8" s="2" t="inlineStr">
        <is>
          <t>Multiplier - supplier unit cost (COGS)</t>
        </is>
      </c>
      <c r="B8" s="37" t="n">
        <v>1</v>
      </c>
      <c r="H8" s="37" t="n">
        <v>1</v>
      </c>
      <c r="N8" s="37" t="n">
        <v>1</v>
      </c>
      <c r="T8" s="37" t="n">
        <v>1</v>
      </c>
      <c r="Z8" s="37" t="n">
        <v>1</v>
      </c>
      <c r="AF8" s="37">
        <f>1+Sensitivity!$C$6</f>
        <v>1.15</v>
      </c>
      <c r="AL8" s="37" t="n">
        <v>1</v>
      </c>
      <c r="AR8" s="37" t="n">
        <v>1</v>
      </c>
      <c r="AX8" s="37" t="n">
        <v>1</v>
      </c>
      <c r="BD8" s="37" t="n">
        <v>1</v>
      </c>
    </row>
    <row r="9">
      <c r="A9" s="2" t="inlineStr">
        <is>
          <t>Multiplier - postage</t>
        </is>
      </c>
      <c r="B9" s="37" t="n">
        <v>1</v>
      </c>
      <c r="H9" s="37" t="n">
        <v>1</v>
      </c>
      <c r="N9" s="37" t="n">
        <v>1</v>
      </c>
      <c r="T9" s="37" t="n">
        <v>1</v>
      </c>
      <c r="Z9" s="37" t="n">
        <v>1</v>
      </c>
      <c r="AF9" s="37" t="n">
        <v>1</v>
      </c>
      <c r="AL9" s="37">
        <f>1+Sensitivity!$C$7</f>
        <v>1.2</v>
      </c>
      <c r="AR9" s="37" t="n">
        <v>1</v>
      </c>
      <c r="AX9" s="37" t="n">
        <v>1</v>
      </c>
      <c r="BD9" s="37" t="n">
        <v>1</v>
      </c>
    </row>
    <row r="10">
      <c r="A10" s="2" t="inlineStr">
        <is>
          <t>Multiplier - subscription attach (used in cohort)</t>
        </is>
      </c>
      <c r="B10" s="37" t="n">
        <v>1</v>
      </c>
      <c r="H10" s="37" t="n">
        <v>1</v>
      </c>
      <c r="N10" s="37" t="n">
        <v>1</v>
      </c>
      <c r="T10" s="37" t="n">
        <v>1</v>
      </c>
      <c r="Z10" s="37" t="n">
        <v>1</v>
      </c>
      <c r="AF10" s="37" t="n">
        <v>1</v>
      </c>
      <c r="AL10" s="37" t="n">
        <v>1</v>
      </c>
      <c r="AR10" s="37">
        <f>1+Sensitivity!$C$8</f>
        <v>0.5</v>
      </c>
      <c r="AX10" s="37" t="n">
        <v>1</v>
      </c>
      <c r="BD10" s="37" t="n">
        <v>1</v>
      </c>
    </row>
    <row r="11">
      <c r="A11" s="2" t="inlineStr">
        <is>
          <t>Multiplier - churn (used in cohort)</t>
        </is>
      </c>
      <c r="B11" s="37" t="n">
        <v>1</v>
      </c>
      <c r="H11" s="37" t="n">
        <v>1</v>
      </c>
      <c r="N11" s="37" t="n">
        <v>1</v>
      </c>
      <c r="T11" s="37" t="n">
        <v>1</v>
      </c>
      <c r="Z11" s="37" t="n">
        <v>1</v>
      </c>
      <c r="AF11" s="37" t="n">
        <v>1</v>
      </c>
      <c r="AL11" s="37" t="n">
        <v>1</v>
      </c>
      <c r="AR11" s="37" t="n">
        <v>1</v>
      </c>
      <c r="AX11" s="37">
        <f>1+Sensitivity!$C$9</f>
        <v>1.5</v>
      </c>
      <c r="BD11" s="37" t="n">
        <v>1</v>
      </c>
    </row>
    <row r="12">
      <c r="A12" s="2" t="inlineStr">
        <is>
          <t>Multiplier - refunds, replacements, returns</t>
        </is>
      </c>
      <c r="B12" s="37" t="n">
        <v>1</v>
      </c>
      <c r="H12" s="37" t="n">
        <v>1</v>
      </c>
      <c r="N12" s="37" t="n">
        <v>1</v>
      </c>
      <c r="T12" s="37" t="n">
        <v>1</v>
      </c>
      <c r="Z12" s="37" t="n">
        <v>1</v>
      </c>
      <c r="AF12" s="37" t="n">
        <v>1</v>
      </c>
      <c r="AL12" s="37" t="n">
        <v>1</v>
      </c>
      <c r="AR12" s="37" t="n">
        <v>1</v>
      </c>
      <c r="AX12" s="37" t="n">
        <v>1</v>
      </c>
      <c r="BD12" s="38">
        <f>Sensitivity!$C$10</f>
        <v>2.0</v>
      </c>
    </row>
    <row r="14">
      <c r="A14" s="4" t="inlineStr">
        <is>
          <t>Landed cost build (per unit, value in first column of each group)</t>
        </is>
      </c>
    </row>
    <row r="15">
      <c r="A15" s="3" t="inlineStr">
        <is>
          <t>Test-stage fountain landed (AliExpress x (1 + duty + AutoDS fee))</t>
        </is>
      </c>
      <c r="B15" s="26">
        <f>Inputs!$G$25*$B$8*(1+Inputs!$G$26+Inputs!$G$27)</f>
        <v>38.3265</v>
      </c>
      <c r="H15" s="26">
        <f>Inputs!$D$25*$H$8*(1+Inputs!$D$26+Inputs!$D$27)</f>
        <v>48.564</v>
      </c>
      <c r="N15" s="26">
        <f>Inputs!$E$25*$N$8*(1+Inputs!$E$26+Inputs!$E$27)</f>
        <v>38.3265</v>
      </c>
      <c r="T15" s="26">
        <f>Inputs!$F$25*$T$8*(1+Inputs!$F$26+Inputs!$F$27)</f>
        <v>21.79</v>
      </c>
      <c r="Z15" s="26">
        <f>Inputs!$E$25*$Z$8*(1+Inputs!$E$26+Inputs!$E$27)</f>
        <v>38.3265</v>
      </c>
      <c r="AF15" s="26">
        <f>Inputs!$E$25*$AF$8*(1+Inputs!$E$26+Inputs!$E$27)</f>
        <v>44.075475000000004</v>
      </c>
      <c r="AL15" s="26">
        <f>Inputs!$E$25*$AL$8*(1+Inputs!$E$26+Inputs!$E$27)</f>
        <v>38.3265</v>
      </c>
      <c r="AR15" s="26">
        <f>Inputs!$E$25*$AR$8*(1+Inputs!$E$26+Inputs!$E$27)</f>
        <v>38.3265</v>
      </c>
      <c r="AX15" s="26">
        <f>Inputs!$E$25*$AX$8*(1+Inputs!$E$26+Inputs!$E$27)</f>
        <v>38.3265</v>
      </c>
      <c r="BD15" s="26">
        <f>Inputs!$E$25*$BD$8*(1+Inputs!$E$26+Inputs!$E$27)</f>
        <v>38.3265</v>
      </c>
    </row>
    <row r="16">
      <c r="A16" s="3" t="inlineStr">
        <is>
          <t>PL fountain FOB incl. listed adapter</t>
        </is>
      </c>
      <c r="B16" s="26">
        <f>(Inputs!$G$36+Inputs!$G$37)*$B$8</f>
        <v>11.77</v>
      </c>
      <c r="H16" s="26">
        <f>(Inputs!$D$36+Inputs!$D$37)*$H$8</f>
        <v>13.83</v>
      </c>
      <c r="N16" s="26">
        <f>(Inputs!$E$36+Inputs!$E$37)*$N$8</f>
        <v>11.77</v>
      </c>
      <c r="T16" s="26">
        <f>(Inputs!$F$36+Inputs!$F$37)*$T$8</f>
        <v>8.16</v>
      </c>
      <c r="Z16" s="26">
        <f>(Inputs!$E$36+Inputs!$E$37)*$Z$8</f>
        <v>11.77</v>
      </c>
      <c r="AF16" s="26">
        <f>(Inputs!$E$36+Inputs!$E$37)*$AF$8</f>
        <v>13.535499999999999</v>
      </c>
      <c r="AL16" s="26">
        <f>(Inputs!$E$36+Inputs!$E$37)*$AL$8</f>
        <v>11.77</v>
      </c>
      <c r="AR16" s="26">
        <f>(Inputs!$E$36+Inputs!$E$37)*$AR$8</f>
        <v>11.77</v>
      </c>
      <c r="AX16" s="26">
        <f>(Inputs!$E$36+Inputs!$E$37)*$AX$8</f>
        <v>11.77</v>
      </c>
      <c r="BD16" s="26">
        <f>(Inputs!$E$36+Inputs!$E$37)*$BD$8</f>
        <v>11.77</v>
      </c>
    </row>
    <row r="17">
      <c r="A17" s="3" t="inlineStr">
        <is>
          <t>PL duty (Section 301 stack)</t>
        </is>
      </c>
      <c r="B17" s="26">
        <f>$B$16*Inputs!$G$39</f>
        <v>4.41375</v>
      </c>
      <c r="H17" s="26">
        <f>$H$16*Inputs!$D$39</f>
        <v>5.18625</v>
      </c>
      <c r="N17" s="26">
        <f>$N$16*Inputs!$E$39</f>
        <v>4.41375</v>
      </c>
      <c r="T17" s="26">
        <f>$T$16*Inputs!$F$39</f>
        <v>3.06</v>
      </c>
      <c r="Z17" s="26">
        <f>$Z$16*Inputs!$E$39</f>
        <v>4.41375</v>
      </c>
      <c r="AF17" s="26">
        <f>$AF$16*Inputs!$E$39</f>
        <v>5.0758125</v>
      </c>
      <c r="AL17" s="26">
        <f>$AL$16*Inputs!$E$39</f>
        <v>4.41375</v>
      </c>
      <c r="AR17" s="26">
        <f>$AR$16*Inputs!$E$39</f>
        <v>4.41375</v>
      </c>
      <c r="AX17" s="26">
        <f>$AX$16*Inputs!$E$39</f>
        <v>4.41375</v>
      </c>
      <c r="BD17" s="26">
        <f>$BD$16*Inputs!$E$39</f>
        <v>4.41375</v>
      </c>
    </row>
    <row r="18">
      <c r="A18" s="3" t="inlineStr">
        <is>
          <t>PL ocean freight per unit</t>
        </is>
      </c>
      <c r="B18" s="39">
        <f>Inputs!$G$38</f>
        <v>3.5</v>
      </c>
      <c r="H18" s="39">
        <f>Inputs!$D$38</f>
        <v>5.0</v>
      </c>
      <c r="N18" s="39">
        <f>Inputs!$E$38</f>
        <v>3.5</v>
      </c>
      <c r="T18" s="39">
        <f>Inputs!$F$38</f>
        <v>2.2</v>
      </c>
      <c r="Z18" s="39">
        <f>Inputs!$E$38</f>
        <v>3.5</v>
      </c>
      <c r="AF18" s="39">
        <f>Inputs!$E$38</f>
        <v>3.5</v>
      </c>
      <c r="AL18" s="39">
        <f>Inputs!$E$38</f>
        <v>3.5</v>
      </c>
      <c r="AR18" s="39">
        <f>Inputs!$E$38</f>
        <v>3.5</v>
      </c>
      <c r="AX18" s="39">
        <f>Inputs!$E$38</f>
        <v>3.5</v>
      </c>
      <c r="BD18" s="39">
        <f>Inputs!$E$38</f>
        <v>3.5</v>
      </c>
    </row>
    <row r="19">
      <c r="A19" s="3" t="inlineStr">
        <is>
          <t>PL customs entry fees per unit (broker, ISF, bond, MPF, HMF)</t>
        </is>
      </c>
      <c r="B19" s="26">
        <f>(Inputs!$G$41+Inputs!$G$42+Inputs!$G$43+MAX(Inputs!$G$45,MIN(Inputs!$G$46,Inputs!$G$44*Inputs!$G$40*$B$16))+Inputs!$G$47*Inputs!$G$40*$B$16)/Inputs!$G$40</f>
        <v>0.6318725</v>
      </c>
      <c r="H19" s="26">
        <f>(Inputs!$D$41+Inputs!$D$42+Inputs!$D$43+MAX(Inputs!$D$45,MIN(Inputs!$D$46,Inputs!$D$44*Inputs!$D$40*$H$16))+Inputs!$D$47*Inputs!$D$40*$H$16)/Inputs!$D$40</f>
        <v>0.8844474999999999</v>
      </c>
      <c r="N19" s="26">
        <f>(Inputs!$E$41+Inputs!$E$42+Inputs!$E$43+MAX(Inputs!$E$45,MIN(Inputs!$E$46,Inputs!$E$44*Inputs!$E$40*$N$16))+Inputs!$E$47*Inputs!$E$40*$N$16)/Inputs!$E$40</f>
        <v>0.6318725</v>
      </c>
      <c r="T19" s="26">
        <f>(Inputs!$F$41+Inputs!$F$42+Inputs!$F$43+MAX(Inputs!$F$45,MIN(Inputs!$F$46,Inputs!$F$44*Inputs!$F$40*$T$16))+Inputs!$F$47*Inputs!$F$40*$T$16)/Inputs!$F$40</f>
        <v>0.21377999999999997</v>
      </c>
      <c r="Z19" s="26">
        <f>(Inputs!$E$41+Inputs!$E$42+Inputs!$E$43+MAX(Inputs!$E$45,MIN(Inputs!$E$46,Inputs!$E$44*Inputs!$E$40*$Z$16))+Inputs!$E$47*Inputs!$E$40*$Z$16)/Inputs!$E$40</f>
        <v>0.6318725</v>
      </c>
      <c r="AF19" s="26">
        <f>(Inputs!$E$41+Inputs!$E$42+Inputs!$E$43+MAX(Inputs!$E$45,MIN(Inputs!$E$46,Inputs!$E$44*Inputs!$E$40*$AF$16))+Inputs!$E$47*Inputs!$E$40*$AF$16)/Inputs!$E$40</f>
        <v>0.6340793749999999</v>
      </c>
      <c r="AL19" s="26">
        <f>(Inputs!$E$41+Inputs!$E$42+Inputs!$E$43+MAX(Inputs!$E$45,MIN(Inputs!$E$46,Inputs!$E$44*Inputs!$E$40*$AL$16))+Inputs!$E$47*Inputs!$E$40*$AL$16)/Inputs!$E$40</f>
        <v>0.6318725</v>
      </c>
      <c r="AR19" s="26">
        <f>(Inputs!$E$41+Inputs!$E$42+Inputs!$E$43+MAX(Inputs!$E$45,MIN(Inputs!$E$46,Inputs!$E$44*Inputs!$E$40*$AR$16))+Inputs!$E$47*Inputs!$E$40*$AR$16)/Inputs!$E$40</f>
        <v>0.6318725</v>
      </c>
      <c r="AX19" s="26">
        <f>(Inputs!$E$41+Inputs!$E$42+Inputs!$E$43+MAX(Inputs!$E$45,MIN(Inputs!$E$46,Inputs!$E$44*Inputs!$E$40*$AX$16))+Inputs!$E$47*Inputs!$E$40*$AX$16)/Inputs!$E$40</f>
        <v>0.6318725</v>
      </c>
      <c r="BD19" s="26">
        <f>(Inputs!$E$41+Inputs!$E$42+Inputs!$E$43+MAX(Inputs!$E$45,MIN(Inputs!$E$46,Inputs!$E$44*Inputs!$E$40*$BD$16))+Inputs!$E$47*Inputs!$E$40*$BD$16)/Inputs!$E$40</f>
        <v>0.6318725</v>
      </c>
    </row>
    <row r="20">
      <c r="A20" s="3" t="inlineStr">
        <is>
          <t>PL retail packaging</t>
        </is>
      </c>
      <c r="B20" s="39">
        <f>Inputs!$G$48</f>
        <v>1.0</v>
      </c>
      <c r="H20" s="39">
        <f>Inputs!$D$48</f>
        <v>1.5</v>
      </c>
      <c r="N20" s="39">
        <f>Inputs!$E$48</f>
        <v>1.0</v>
      </c>
      <c r="T20" s="39">
        <f>Inputs!$F$48</f>
        <v>0.7</v>
      </c>
      <c r="Z20" s="39">
        <f>Inputs!$E$48</f>
        <v>1.0</v>
      </c>
      <c r="AF20" s="39">
        <f>Inputs!$E$48</f>
        <v>1.0</v>
      </c>
      <c r="AL20" s="39">
        <f>Inputs!$E$48</f>
        <v>1.0</v>
      </c>
      <c r="AR20" s="39">
        <f>Inputs!$E$48</f>
        <v>1.0</v>
      </c>
      <c r="AX20" s="39">
        <f>Inputs!$E$48</f>
        <v>1.0</v>
      </c>
      <c r="BD20" s="39">
        <f>Inputs!$E$48</f>
        <v>1.0</v>
      </c>
    </row>
    <row r="21">
      <c r="A21" s="3" t="inlineStr">
        <is>
          <t>PL certification amortization (FCC + Prop 65 + food-contact)</t>
        </is>
      </c>
      <c r="B21" s="26">
        <f>(Inputs!$G$49+Inputs!$G$50+Inputs!$G$51)/Inputs!$G$52</f>
        <v>4.65</v>
      </c>
      <c r="H21" s="26">
        <f>(Inputs!$D$49+Inputs!$D$50+Inputs!$D$51)/Inputs!$D$52</f>
        <v>14.8</v>
      </c>
      <c r="N21" s="26">
        <f>(Inputs!$E$49+Inputs!$E$50+Inputs!$E$51)/Inputs!$E$52</f>
        <v>4.65</v>
      </c>
      <c r="T21" s="26">
        <f>(Inputs!$F$49+Inputs!$F$50+Inputs!$F$51)/Inputs!$F$52</f>
        <v>1.275</v>
      </c>
      <c r="Z21" s="26">
        <f>(Inputs!$E$49+Inputs!$E$50+Inputs!$E$51)/Inputs!$E$52</f>
        <v>4.65</v>
      </c>
      <c r="AF21" s="26">
        <f>(Inputs!$E$49+Inputs!$E$50+Inputs!$E$51)/Inputs!$E$52</f>
        <v>4.65</v>
      </c>
      <c r="AL21" s="26">
        <f>(Inputs!$E$49+Inputs!$E$50+Inputs!$E$51)/Inputs!$E$52</f>
        <v>4.65</v>
      </c>
      <c r="AR21" s="26">
        <f>(Inputs!$E$49+Inputs!$E$50+Inputs!$E$51)/Inputs!$E$52</f>
        <v>4.65</v>
      </c>
      <c r="AX21" s="26">
        <f>(Inputs!$E$49+Inputs!$E$50+Inputs!$E$51)/Inputs!$E$52</f>
        <v>4.65</v>
      </c>
      <c r="BD21" s="26">
        <f>(Inputs!$E$49+Inputs!$E$50+Inputs!$E$51)/Inputs!$E$52</f>
        <v>4.65</v>
      </c>
    </row>
    <row r="22">
      <c r="A22" s="3" t="inlineStr">
        <is>
          <t>PL fountain landed cost</t>
        </is>
      </c>
      <c r="B22" s="23">
        <f>SUM(B16:B21)</f>
        <v>25.9656225</v>
      </c>
      <c r="H22" s="23">
        <f>SUM(H16:H21)</f>
        <v>41.200697500000004</v>
      </c>
      <c r="N22" s="23">
        <f>SUM(N16:N21)</f>
        <v>25.9656225</v>
      </c>
      <c r="T22" s="23">
        <f>SUM(T16:T21)</f>
        <v>15.60878</v>
      </c>
      <c r="Z22" s="23">
        <f>SUM(Z16:Z21)</f>
        <v>25.9656225</v>
      </c>
      <c r="AF22" s="23">
        <f>SUM(AF16:AF21)</f>
        <v>28.395391874999998</v>
      </c>
      <c r="AL22" s="23">
        <f>SUM(AL16:AL21)</f>
        <v>25.9656225</v>
      </c>
      <c r="AR22" s="23">
        <f>SUM(AR16:AR21)</f>
        <v>25.9656225</v>
      </c>
      <c r="AX22" s="23">
        <f>SUM(AX16:AX21)</f>
        <v>25.9656225</v>
      </c>
      <c r="BD22" s="23">
        <f>SUM(BD16:BD21)</f>
        <v>25.9656225</v>
      </c>
    </row>
    <row r="23">
      <c r="A23" s="3" t="inlineStr">
        <is>
          <t>PL litter mat landed cost</t>
        </is>
      </c>
      <c r="B23" s="26">
        <f>Inputs!$G$53*$B$8*(1+Inputs!$G$54)+Inputs!$G$55</f>
        <v>5.075</v>
      </c>
      <c r="H23" s="26">
        <f>Inputs!$D$53*$H$8*(1+Inputs!$D$54)+Inputs!$D$55</f>
        <v>6.7</v>
      </c>
      <c r="N23" s="26">
        <f>Inputs!$E$53*$N$8*(1+Inputs!$E$54)+Inputs!$E$55</f>
        <v>5.075</v>
      </c>
      <c r="T23" s="26">
        <f>Inputs!$F$53*$T$8*(1+Inputs!$F$54)+Inputs!$F$55</f>
        <v>3.0</v>
      </c>
      <c r="Z23" s="26">
        <f>Inputs!$E$53*$Z$8*(1+Inputs!$E$54)+Inputs!$E$55</f>
        <v>5.075</v>
      </c>
      <c r="AF23" s="26">
        <f>Inputs!$E$53*$AF$8*(1+Inputs!$E$54)+Inputs!$E$55</f>
        <v>5.71625</v>
      </c>
      <c r="AL23" s="26">
        <f>Inputs!$E$53*$AL$8*(1+Inputs!$E$54)+Inputs!$E$55</f>
        <v>5.075</v>
      </c>
      <c r="AR23" s="26">
        <f>Inputs!$E$53*$AR$8*(1+Inputs!$E$54)+Inputs!$E$55</f>
        <v>5.075</v>
      </c>
      <c r="AX23" s="26">
        <f>Inputs!$E$53*$AX$8*(1+Inputs!$E$54)+Inputs!$E$55</f>
        <v>5.075</v>
      </c>
      <c r="BD23" s="26">
        <f>Inputs!$E$53*$BD$8*(1+Inputs!$E$54)+Inputs!$E$55</f>
        <v>5.075</v>
      </c>
    </row>
    <row r="24">
      <c r="A24" s="3" t="inlineStr">
        <is>
          <t>PL filter 6-pack landed cost (US stock)</t>
        </is>
      </c>
      <c r="B24" s="26">
        <f>Inputs!$G$15*Inputs!$G$56*$B$8*(1+Inputs!$G$57)+Inputs!$G$58+Inputs!$G$59</f>
        <v>5.2425</v>
      </c>
      <c r="H24" s="26">
        <f>Inputs!$D$15*Inputs!$D$56*$H$8*(1+Inputs!$D$57)+Inputs!$D$58+Inputs!$D$59</f>
        <v>6.5675</v>
      </c>
      <c r="N24" s="26">
        <f>Inputs!$E$15*Inputs!$E$56*$N$8*(1+Inputs!$E$57)+Inputs!$E$58+Inputs!$E$59</f>
        <v>5.2425</v>
      </c>
      <c r="T24" s="26">
        <f>Inputs!$F$15*Inputs!$F$56*$T$8*(1+Inputs!$F$57)+Inputs!$F$58+Inputs!$F$59</f>
        <v>4.362500000000001</v>
      </c>
      <c r="Z24" s="26">
        <f>Inputs!$E$15*Inputs!$E$56*$Z$8*(1+Inputs!$E$57)+Inputs!$E$58+Inputs!$E$59</f>
        <v>5.2425</v>
      </c>
      <c r="AF24" s="26">
        <f>Inputs!$E$15*Inputs!$E$56*$AF$8*(1+Inputs!$E$57)+Inputs!$E$58+Inputs!$E$59</f>
        <v>5.848875</v>
      </c>
      <c r="AL24" s="26">
        <f>Inputs!$E$15*Inputs!$E$56*$AL$8*(1+Inputs!$E$57)+Inputs!$E$58+Inputs!$E$59</f>
        <v>5.2425</v>
      </c>
      <c r="AR24" s="26">
        <f>Inputs!$E$15*Inputs!$E$56*$AR$8*(1+Inputs!$E$57)+Inputs!$E$58+Inputs!$E$59</f>
        <v>5.2425</v>
      </c>
      <c r="AX24" s="26">
        <f>Inputs!$E$15*Inputs!$E$56*$AX$8*(1+Inputs!$E$57)+Inputs!$E$58+Inputs!$E$59</f>
        <v>5.2425</v>
      </c>
      <c r="BD24" s="26">
        <f>Inputs!$E$15*Inputs!$E$56*$BD$8*(1+Inputs!$E$57)+Inputs!$E$58+Inputs!$E$59</f>
        <v>5.2425</v>
      </c>
    </row>
    <row r="26" ht="54" customHeight="1">
      <c r="A26" s="4" t="inlineStr">
        <is>
          <t>Order type</t>
        </is>
      </c>
      <c r="B26" s="40" t="inlineStr">
        <is>
          <t>(a) Fountain first order - TEST stage (AliExpress)</t>
        </is>
      </c>
      <c r="C26" s="40" t="inlineStr">
        <is>
          <t>(b) Fountain first order - PRIVATE LABEL</t>
        </is>
      </c>
      <c r="D26" s="40" t="inlineStr">
        <is>
          <t>(c) Fountain + litter mat bundle - PRIVATE LABEL</t>
        </is>
      </c>
      <c r="E26" s="40" t="inlineStr">
        <is>
          <t>(d) Filter 90-day pack - SUBSCRIPTION renewal</t>
        </is>
      </c>
      <c r="F26" s="40" t="inlineStr">
        <is>
          <t>(e) Filter pack - one-time repeat order</t>
        </is>
      </c>
      <c r="H26" s="40" t="inlineStr">
        <is>
          <t>(a) Fountain first order - TEST stage (AliExpress)</t>
        </is>
      </c>
      <c r="I26" s="40" t="inlineStr">
        <is>
          <t>(b) Fountain first order - PRIVATE LABEL</t>
        </is>
      </c>
      <c r="J26" s="40" t="inlineStr">
        <is>
          <t>(c) Fountain + litter mat bundle - PRIVATE LABEL</t>
        </is>
      </c>
      <c r="K26" s="40" t="inlineStr">
        <is>
          <t>(d) Filter 90-day pack - SUBSCRIPTION renewal</t>
        </is>
      </c>
      <c r="L26" s="40" t="inlineStr">
        <is>
          <t>(e) Filter pack - one-time repeat order</t>
        </is>
      </c>
      <c r="N26" s="40" t="inlineStr">
        <is>
          <t>(a) Fountain first order - TEST stage (AliExpress)</t>
        </is>
      </c>
      <c r="O26" s="40" t="inlineStr">
        <is>
          <t>(b) Fountain first order - PRIVATE LABEL</t>
        </is>
      </c>
      <c r="P26" s="40" t="inlineStr">
        <is>
          <t>(c) Fountain + litter mat bundle - PRIVATE LABEL</t>
        </is>
      </c>
      <c r="Q26" s="40" t="inlineStr">
        <is>
          <t>(d) Filter 90-day pack - SUBSCRIPTION renewal</t>
        </is>
      </c>
      <c r="R26" s="40" t="inlineStr">
        <is>
          <t>(e) Filter pack - one-time repeat order</t>
        </is>
      </c>
      <c r="T26" s="40" t="inlineStr">
        <is>
          <t>(a) Fountain first order - TEST stage (AliExpress)</t>
        </is>
      </c>
      <c r="U26" s="40" t="inlineStr">
        <is>
          <t>(b) Fountain first order - PRIVATE LABEL</t>
        </is>
      </c>
      <c r="V26" s="40" t="inlineStr">
        <is>
          <t>(c) Fountain + litter mat bundle - PRIVATE LABEL</t>
        </is>
      </c>
      <c r="W26" s="40" t="inlineStr">
        <is>
          <t>(d) Filter 90-day pack - SUBSCRIPTION renewal</t>
        </is>
      </c>
      <c r="X26" s="40" t="inlineStr">
        <is>
          <t>(e) Filter pack - one-time repeat order</t>
        </is>
      </c>
      <c r="Z26" s="40" t="inlineStr">
        <is>
          <t>(a) Fountain first order - TEST stage (AliExpress)</t>
        </is>
      </c>
      <c r="AA26" s="40" t="inlineStr">
        <is>
          <t>(b) Fountain first order - PRIVATE LABEL</t>
        </is>
      </c>
      <c r="AB26" s="40" t="inlineStr">
        <is>
          <t>(c) Fountain + litter mat bundle - PRIVATE LABEL</t>
        </is>
      </c>
      <c r="AC26" s="40" t="inlineStr">
        <is>
          <t>(d) Filter 90-day pack - SUBSCRIPTION renewal</t>
        </is>
      </c>
      <c r="AD26" s="40" t="inlineStr">
        <is>
          <t>(e) Filter pack - one-time repeat order</t>
        </is>
      </c>
      <c r="AF26" s="40" t="inlineStr">
        <is>
          <t>(a) Fountain first order - TEST stage (AliExpress)</t>
        </is>
      </c>
      <c r="AG26" s="40" t="inlineStr">
        <is>
          <t>(b) Fountain first order - PRIVATE LABEL</t>
        </is>
      </c>
      <c r="AH26" s="40" t="inlineStr">
        <is>
          <t>(c) Fountain + litter mat bundle - PRIVATE LABEL</t>
        </is>
      </c>
      <c r="AI26" s="40" t="inlineStr">
        <is>
          <t>(d) Filter 90-day pack - SUBSCRIPTION renewal</t>
        </is>
      </c>
      <c r="AJ26" s="40" t="inlineStr">
        <is>
          <t>(e) Filter pack - one-time repeat order</t>
        </is>
      </c>
      <c r="AL26" s="40" t="inlineStr">
        <is>
          <t>(a) Fountain first order - TEST stage (AliExpress)</t>
        </is>
      </c>
      <c r="AM26" s="40" t="inlineStr">
        <is>
          <t>(b) Fountain first order - PRIVATE LABEL</t>
        </is>
      </c>
      <c r="AN26" s="40" t="inlineStr">
        <is>
          <t>(c) Fountain + litter mat bundle - PRIVATE LABEL</t>
        </is>
      </c>
      <c r="AO26" s="40" t="inlineStr">
        <is>
          <t>(d) Filter 90-day pack - SUBSCRIPTION renewal</t>
        </is>
      </c>
      <c r="AP26" s="40" t="inlineStr">
        <is>
          <t>(e) Filter pack - one-time repeat order</t>
        </is>
      </c>
      <c r="AR26" s="40" t="inlineStr">
        <is>
          <t>(a) Fountain first order - TEST stage (AliExpress)</t>
        </is>
      </c>
      <c r="AS26" s="40" t="inlineStr">
        <is>
          <t>(b) Fountain first order - PRIVATE LABEL</t>
        </is>
      </c>
      <c r="AT26" s="40" t="inlineStr">
        <is>
          <t>(c) Fountain + litter mat bundle - PRIVATE LABEL</t>
        </is>
      </c>
      <c r="AU26" s="40" t="inlineStr">
        <is>
          <t>(d) Filter 90-day pack - SUBSCRIPTION renewal</t>
        </is>
      </c>
      <c r="AV26" s="40" t="inlineStr">
        <is>
          <t>(e) Filter pack - one-time repeat order</t>
        </is>
      </c>
      <c r="AX26" s="40" t="inlineStr">
        <is>
          <t>(a) Fountain first order - TEST stage (AliExpress)</t>
        </is>
      </c>
      <c r="AY26" s="40" t="inlineStr">
        <is>
          <t>(b) Fountain first order - PRIVATE LABEL</t>
        </is>
      </c>
      <c r="AZ26" s="40" t="inlineStr">
        <is>
          <t>(c) Fountain + litter mat bundle - PRIVATE LABEL</t>
        </is>
      </c>
      <c r="BA26" s="40" t="inlineStr">
        <is>
          <t>(d) Filter 90-day pack - SUBSCRIPTION renewal</t>
        </is>
      </c>
      <c r="BB26" s="40" t="inlineStr">
        <is>
          <t>(e) Filter pack - one-time repeat order</t>
        </is>
      </c>
      <c r="BD26" s="40" t="inlineStr">
        <is>
          <t>(a) Fountain first order - TEST stage (AliExpress)</t>
        </is>
      </c>
      <c r="BE26" s="40" t="inlineStr">
        <is>
          <t>(b) Fountain first order - PRIVATE LABEL</t>
        </is>
      </c>
      <c r="BF26" s="40" t="inlineStr">
        <is>
          <t>(c) Fountain + litter mat bundle - PRIVATE LABEL</t>
        </is>
      </c>
      <c r="BG26" s="40" t="inlineStr">
        <is>
          <t>(d) Filter 90-day pack - SUBSCRIPTION renewal</t>
        </is>
      </c>
      <c r="BH26" s="40" t="inlineStr">
        <is>
          <t>(e) Filter pack - one-time repeat order</t>
        </is>
      </c>
    </row>
    <row r="27">
      <c r="A27" s="3" t="inlineStr">
        <is>
          <t>Stage</t>
        </is>
      </c>
      <c r="B27" s="2" t="inlineStr">
        <is>
          <t>Test</t>
        </is>
      </c>
      <c r="C27" s="2" t="inlineStr">
        <is>
          <t>Private label</t>
        </is>
      </c>
      <c r="D27" s="2" t="inlineStr">
        <is>
          <t>Private label</t>
        </is>
      </c>
      <c r="E27" s="2" t="inlineStr">
        <is>
          <t>PL renewal</t>
        </is>
      </c>
      <c r="F27" s="2" t="inlineStr">
        <is>
          <t>PL one-time</t>
        </is>
      </c>
      <c r="H27" s="2" t="inlineStr">
        <is>
          <t>Test</t>
        </is>
      </c>
      <c r="I27" s="2" t="inlineStr">
        <is>
          <t>Private label</t>
        </is>
      </c>
      <c r="J27" s="2" t="inlineStr">
        <is>
          <t>Private label</t>
        </is>
      </c>
      <c r="K27" s="2" t="inlineStr">
        <is>
          <t>PL renewal</t>
        </is>
      </c>
      <c r="L27" s="2" t="inlineStr">
        <is>
          <t>PL one-time</t>
        </is>
      </c>
      <c r="N27" s="2" t="inlineStr">
        <is>
          <t>Test</t>
        </is>
      </c>
      <c r="O27" s="2" t="inlineStr">
        <is>
          <t>Private label</t>
        </is>
      </c>
      <c r="P27" s="2" t="inlineStr">
        <is>
          <t>Private label</t>
        </is>
      </c>
      <c r="Q27" s="2" t="inlineStr">
        <is>
          <t>PL renewal</t>
        </is>
      </c>
      <c r="R27" s="2" t="inlineStr">
        <is>
          <t>PL one-time</t>
        </is>
      </c>
      <c r="T27" s="2" t="inlineStr">
        <is>
          <t>Test</t>
        </is>
      </c>
      <c r="U27" s="2" t="inlineStr">
        <is>
          <t>Private label</t>
        </is>
      </c>
      <c r="V27" s="2" t="inlineStr">
        <is>
          <t>Private label</t>
        </is>
      </c>
      <c r="W27" s="2" t="inlineStr">
        <is>
          <t>PL renewal</t>
        </is>
      </c>
      <c r="X27" s="2" t="inlineStr">
        <is>
          <t>PL one-time</t>
        </is>
      </c>
      <c r="Z27" s="2" t="inlineStr">
        <is>
          <t>Test</t>
        </is>
      </c>
      <c r="AA27" s="2" t="inlineStr">
        <is>
          <t>Private label</t>
        </is>
      </c>
      <c r="AB27" s="2" t="inlineStr">
        <is>
          <t>Private label</t>
        </is>
      </c>
      <c r="AC27" s="2" t="inlineStr">
        <is>
          <t>PL renewal</t>
        </is>
      </c>
      <c r="AD27" s="2" t="inlineStr">
        <is>
          <t>PL one-time</t>
        </is>
      </c>
      <c r="AF27" s="2" t="inlineStr">
        <is>
          <t>Test</t>
        </is>
      </c>
      <c r="AG27" s="2" t="inlineStr">
        <is>
          <t>Private label</t>
        </is>
      </c>
      <c r="AH27" s="2" t="inlineStr">
        <is>
          <t>Private label</t>
        </is>
      </c>
      <c r="AI27" s="2" t="inlineStr">
        <is>
          <t>PL renewal</t>
        </is>
      </c>
      <c r="AJ27" s="2" t="inlineStr">
        <is>
          <t>PL one-time</t>
        </is>
      </c>
      <c r="AL27" s="2" t="inlineStr">
        <is>
          <t>Test</t>
        </is>
      </c>
      <c r="AM27" s="2" t="inlineStr">
        <is>
          <t>Private label</t>
        </is>
      </c>
      <c r="AN27" s="2" t="inlineStr">
        <is>
          <t>Private label</t>
        </is>
      </c>
      <c r="AO27" s="2" t="inlineStr">
        <is>
          <t>PL renewal</t>
        </is>
      </c>
      <c r="AP27" s="2" t="inlineStr">
        <is>
          <t>PL one-time</t>
        </is>
      </c>
      <c r="AR27" s="2" t="inlineStr">
        <is>
          <t>Test</t>
        </is>
      </c>
      <c r="AS27" s="2" t="inlineStr">
        <is>
          <t>Private label</t>
        </is>
      </c>
      <c r="AT27" s="2" t="inlineStr">
        <is>
          <t>Private label</t>
        </is>
      </c>
      <c r="AU27" s="2" t="inlineStr">
        <is>
          <t>PL renewal</t>
        </is>
      </c>
      <c r="AV27" s="2" t="inlineStr">
        <is>
          <t>PL one-time</t>
        </is>
      </c>
      <c r="AX27" s="2" t="inlineStr">
        <is>
          <t>Test</t>
        </is>
      </c>
      <c r="AY27" s="2" t="inlineStr">
        <is>
          <t>Private label</t>
        </is>
      </c>
      <c r="AZ27" s="2" t="inlineStr">
        <is>
          <t>Private label</t>
        </is>
      </c>
      <c r="BA27" s="2" t="inlineStr">
        <is>
          <t>PL renewal</t>
        </is>
      </c>
      <c r="BB27" s="2" t="inlineStr">
        <is>
          <t>PL one-time</t>
        </is>
      </c>
      <c r="BD27" s="2" t="inlineStr">
        <is>
          <t>Test</t>
        </is>
      </c>
      <c r="BE27" s="2" t="inlineStr">
        <is>
          <t>Private label</t>
        </is>
      </c>
      <c r="BF27" s="2" t="inlineStr">
        <is>
          <t>Private label</t>
        </is>
      </c>
      <c r="BG27" s="2" t="inlineStr">
        <is>
          <t>PL renewal</t>
        </is>
      </c>
      <c r="BH27" s="2" t="inlineStr">
        <is>
          <t>PL one-time</t>
        </is>
      </c>
    </row>
    <row r="28">
      <c r="A28" s="3" t="inlineStr">
        <is>
          <t>Fountain units</t>
        </is>
      </c>
      <c r="B28" s="41" t="n">
        <v>1</v>
      </c>
      <c r="C28" s="41" t="n">
        <v>1</v>
      </c>
      <c r="D28" s="41" t="n">
        <v>1</v>
      </c>
      <c r="E28" s="41" t="n">
        <v>0</v>
      </c>
      <c r="F28" s="41" t="n">
        <v>0</v>
      </c>
      <c r="H28" s="41" t="n">
        <v>1</v>
      </c>
      <c r="I28" s="41" t="n">
        <v>1</v>
      </c>
      <c r="J28" s="41" t="n">
        <v>1</v>
      </c>
      <c r="K28" s="41" t="n">
        <v>0</v>
      </c>
      <c r="L28" s="41" t="n">
        <v>0</v>
      </c>
      <c r="N28" s="41" t="n">
        <v>1</v>
      </c>
      <c r="O28" s="41" t="n">
        <v>1</v>
      </c>
      <c r="P28" s="41" t="n">
        <v>1</v>
      </c>
      <c r="Q28" s="41" t="n">
        <v>0</v>
      </c>
      <c r="R28" s="41" t="n">
        <v>0</v>
      </c>
      <c r="T28" s="41" t="n">
        <v>1</v>
      </c>
      <c r="U28" s="41" t="n">
        <v>1</v>
      </c>
      <c r="V28" s="41" t="n">
        <v>1</v>
      </c>
      <c r="W28" s="41" t="n">
        <v>0</v>
      </c>
      <c r="X28" s="41" t="n">
        <v>0</v>
      </c>
      <c r="Z28" s="41" t="n">
        <v>1</v>
      </c>
      <c r="AA28" s="41" t="n">
        <v>1</v>
      </c>
      <c r="AB28" s="41" t="n">
        <v>1</v>
      </c>
      <c r="AC28" s="41" t="n">
        <v>0</v>
      </c>
      <c r="AD28" s="41" t="n">
        <v>0</v>
      </c>
      <c r="AF28" s="41" t="n">
        <v>1</v>
      </c>
      <c r="AG28" s="41" t="n">
        <v>1</v>
      </c>
      <c r="AH28" s="41" t="n">
        <v>1</v>
      </c>
      <c r="AI28" s="41" t="n">
        <v>0</v>
      </c>
      <c r="AJ28" s="41" t="n">
        <v>0</v>
      </c>
      <c r="AL28" s="41" t="n">
        <v>1</v>
      </c>
      <c r="AM28" s="41" t="n">
        <v>1</v>
      </c>
      <c r="AN28" s="41" t="n">
        <v>1</v>
      </c>
      <c r="AO28" s="41" t="n">
        <v>0</v>
      </c>
      <c r="AP28" s="41" t="n">
        <v>0</v>
      </c>
      <c r="AR28" s="41" t="n">
        <v>1</v>
      </c>
      <c r="AS28" s="41" t="n">
        <v>1</v>
      </c>
      <c r="AT28" s="41" t="n">
        <v>1</v>
      </c>
      <c r="AU28" s="41" t="n">
        <v>0</v>
      </c>
      <c r="AV28" s="41" t="n">
        <v>0</v>
      </c>
      <c r="AX28" s="41" t="n">
        <v>1</v>
      </c>
      <c r="AY28" s="41" t="n">
        <v>1</v>
      </c>
      <c r="AZ28" s="41" t="n">
        <v>1</v>
      </c>
      <c r="BA28" s="41" t="n">
        <v>0</v>
      </c>
      <c r="BB28" s="41" t="n">
        <v>0</v>
      </c>
      <c r="BD28" s="41" t="n">
        <v>1</v>
      </c>
      <c r="BE28" s="41" t="n">
        <v>1</v>
      </c>
      <c r="BF28" s="41" t="n">
        <v>1</v>
      </c>
      <c r="BG28" s="41" t="n">
        <v>0</v>
      </c>
      <c r="BH28" s="41" t="n">
        <v>0</v>
      </c>
    </row>
    <row r="29">
      <c r="A29" s="3" t="inlineStr">
        <is>
          <t>Litter mat units</t>
        </is>
      </c>
      <c r="B29" s="41" t="n">
        <v>0</v>
      </c>
      <c r="C29" s="41" t="n">
        <v>0</v>
      </c>
      <c r="D29" s="41" t="n">
        <v>1</v>
      </c>
      <c r="E29" s="41" t="n">
        <v>0</v>
      </c>
      <c r="F29" s="41" t="n">
        <v>0</v>
      </c>
      <c r="H29" s="41" t="n">
        <v>0</v>
      </c>
      <c r="I29" s="41" t="n">
        <v>0</v>
      </c>
      <c r="J29" s="41" t="n">
        <v>1</v>
      </c>
      <c r="K29" s="41" t="n">
        <v>0</v>
      </c>
      <c r="L29" s="41" t="n">
        <v>0</v>
      </c>
      <c r="N29" s="41" t="n">
        <v>0</v>
      </c>
      <c r="O29" s="41" t="n">
        <v>0</v>
      </c>
      <c r="P29" s="41" t="n">
        <v>1</v>
      </c>
      <c r="Q29" s="41" t="n">
        <v>0</v>
      </c>
      <c r="R29" s="41" t="n">
        <v>0</v>
      </c>
      <c r="T29" s="41" t="n">
        <v>0</v>
      </c>
      <c r="U29" s="41" t="n">
        <v>0</v>
      </c>
      <c r="V29" s="41" t="n">
        <v>1</v>
      </c>
      <c r="W29" s="41" t="n">
        <v>0</v>
      </c>
      <c r="X29" s="41" t="n">
        <v>0</v>
      </c>
      <c r="Z29" s="41" t="n">
        <v>0</v>
      </c>
      <c r="AA29" s="41" t="n">
        <v>0</v>
      </c>
      <c r="AB29" s="41" t="n">
        <v>1</v>
      </c>
      <c r="AC29" s="41" t="n">
        <v>0</v>
      </c>
      <c r="AD29" s="41" t="n">
        <v>0</v>
      </c>
      <c r="AF29" s="41" t="n">
        <v>0</v>
      </c>
      <c r="AG29" s="41" t="n">
        <v>0</v>
      </c>
      <c r="AH29" s="41" t="n">
        <v>1</v>
      </c>
      <c r="AI29" s="41" t="n">
        <v>0</v>
      </c>
      <c r="AJ29" s="41" t="n">
        <v>0</v>
      </c>
      <c r="AL29" s="41" t="n">
        <v>0</v>
      </c>
      <c r="AM29" s="41" t="n">
        <v>0</v>
      </c>
      <c r="AN29" s="41" t="n">
        <v>1</v>
      </c>
      <c r="AO29" s="41" t="n">
        <v>0</v>
      </c>
      <c r="AP29" s="41" t="n">
        <v>0</v>
      </c>
      <c r="AR29" s="41" t="n">
        <v>0</v>
      </c>
      <c r="AS29" s="41" t="n">
        <v>0</v>
      </c>
      <c r="AT29" s="41" t="n">
        <v>1</v>
      </c>
      <c r="AU29" s="41" t="n">
        <v>0</v>
      </c>
      <c r="AV29" s="41" t="n">
        <v>0</v>
      </c>
      <c r="AX29" s="41" t="n">
        <v>0</v>
      </c>
      <c r="AY29" s="41" t="n">
        <v>0</v>
      </c>
      <c r="AZ29" s="41" t="n">
        <v>1</v>
      </c>
      <c r="BA29" s="41" t="n">
        <v>0</v>
      </c>
      <c r="BB29" s="41" t="n">
        <v>0</v>
      </c>
      <c r="BD29" s="41" t="n">
        <v>0</v>
      </c>
      <c r="BE29" s="41" t="n">
        <v>0</v>
      </c>
      <c r="BF29" s="41" t="n">
        <v>1</v>
      </c>
      <c r="BG29" s="41" t="n">
        <v>0</v>
      </c>
      <c r="BH29" s="41" t="n">
        <v>0</v>
      </c>
    </row>
    <row r="30">
      <c r="A30" s="3" t="inlineStr">
        <is>
          <t>Filter packs</t>
        </is>
      </c>
      <c r="B30" s="41" t="n">
        <v>0</v>
      </c>
      <c r="C30" s="41" t="n">
        <v>0</v>
      </c>
      <c r="D30" s="41" t="n">
        <v>0</v>
      </c>
      <c r="E30" s="41" t="n">
        <v>1</v>
      </c>
      <c r="F30" s="41" t="n">
        <v>1</v>
      </c>
      <c r="H30" s="41" t="n">
        <v>0</v>
      </c>
      <c r="I30" s="41" t="n">
        <v>0</v>
      </c>
      <c r="J30" s="41" t="n">
        <v>0</v>
      </c>
      <c r="K30" s="41" t="n">
        <v>1</v>
      </c>
      <c r="L30" s="41" t="n">
        <v>1</v>
      </c>
      <c r="N30" s="41" t="n">
        <v>0</v>
      </c>
      <c r="O30" s="41" t="n">
        <v>0</v>
      </c>
      <c r="P30" s="41" t="n">
        <v>0</v>
      </c>
      <c r="Q30" s="41" t="n">
        <v>1</v>
      </c>
      <c r="R30" s="41" t="n">
        <v>1</v>
      </c>
      <c r="T30" s="41" t="n">
        <v>0</v>
      </c>
      <c r="U30" s="41" t="n">
        <v>0</v>
      </c>
      <c r="V30" s="41" t="n">
        <v>0</v>
      </c>
      <c r="W30" s="41" t="n">
        <v>1</v>
      </c>
      <c r="X30" s="41" t="n">
        <v>1</v>
      </c>
      <c r="Z30" s="41" t="n">
        <v>0</v>
      </c>
      <c r="AA30" s="41" t="n">
        <v>0</v>
      </c>
      <c r="AB30" s="41" t="n">
        <v>0</v>
      </c>
      <c r="AC30" s="41" t="n">
        <v>1</v>
      </c>
      <c r="AD30" s="41" t="n">
        <v>1</v>
      </c>
      <c r="AF30" s="41" t="n">
        <v>0</v>
      </c>
      <c r="AG30" s="41" t="n">
        <v>0</v>
      </c>
      <c r="AH30" s="41" t="n">
        <v>0</v>
      </c>
      <c r="AI30" s="41" t="n">
        <v>1</v>
      </c>
      <c r="AJ30" s="41" t="n">
        <v>1</v>
      </c>
      <c r="AL30" s="41" t="n">
        <v>0</v>
      </c>
      <c r="AM30" s="41" t="n">
        <v>0</v>
      </c>
      <c r="AN30" s="41" t="n">
        <v>0</v>
      </c>
      <c r="AO30" s="41" t="n">
        <v>1</v>
      </c>
      <c r="AP30" s="41" t="n">
        <v>1</v>
      </c>
      <c r="AR30" s="41" t="n">
        <v>0</v>
      </c>
      <c r="AS30" s="41" t="n">
        <v>0</v>
      </c>
      <c r="AT30" s="41" t="n">
        <v>0</v>
      </c>
      <c r="AU30" s="41" t="n">
        <v>1</v>
      </c>
      <c r="AV30" s="41" t="n">
        <v>1</v>
      </c>
      <c r="AX30" s="41" t="n">
        <v>0</v>
      </c>
      <c r="AY30" s="41" t="n">
        <v>0</v>
      </c>
      <c r="AZ30" s="41" t="n">
        <v>0</v>
      </c>
      <c r="BA30" s="41" t="n">
        <v>1</v>
      </c>
      <c r="BB30" s="41" t="n">
        <v>1</v>
      </c>
      <c r="BD30" s="41" t="n">
        <v>0</v>
      </c>
      <c r="BE30" s="41" t="n">
        <v>0</v>
      </c>
      <c r="BF30" s="41" t="n">
        <v>0</v>
      </c>
      <c r="BG30" s="41" t="n">
        <v>1</v>
      </c>
      <c r="BH30" s="41" t="n">
        <v>1</v>
      </c>
    </row>
    <row r="31">
      <c r="A31" s="3" t="inlineStr">
        <is>
          <t>Revenue - fountain</t>
        </is>
      </c>
      <c r="B31" s="26">
        <f>B28*Inputs!$G$11</f>
        <v>49.99</v>
      </c>
      <c r="C31" s="26">
        <f>C28*Inputs!$G$11</f>
        <v>49.99</v>
      </c>
      <c r="D31" s="26">
        <f>D28*Inputs!$G$11</f>
        <v>49.99</v>
      </c>
      <c r="E31" s="26">
        <f>E28*Inputs!$G$11</f>
        <v>0.0</v>
      </c>
      <c r="F31" s="26">
        <f>F28*Inputs!$G$11</f>
        <v>0.0</v>
      </c>
      <c r="H31" s="26">
        <f>H28*Inputs!$D$11</f>
        <v>44.99</v>
      </c>
      <c r="I31" s="26">
        <f>I28*Inputs!$D$11</f>
        <v>44.99</v>
      </c>
      <c r="J31" s="26">
        <f>J28*Inputs!$D$11</f>
        <v>44.99</v>
      </c>
      <c r="K31" s="26">
        <f>K28*Inputs!$D$11</f>
        <v>0.0</v>
      </c>
      <c r="L31" s="26">
        <f>L28*Inputs!$D$11</f>
        <v>0.0</v>
      </c>
      <c r="N31" s="26">
        <f>N28*Inputs!$E$11</f>
        <v>49.99</v>
      </c>
      <c r="O31" s="26">
        <f>O28*Inputs!$E$11</f>
        <v>49.99</v>
      </c>
      <c r="P31" s="26">
        <f>P28*Inputs!$E$11</f>
        <v>49.99</v>
      </c>
      <c r="Q31" s="26">
        <f>Q28*Inputs!$E$11</f>
        <v>0.0</v>
      </c>
      <c r="R31" s="26">
        <f>R28*Inputs!$E$11</f>
        <v>0.0</v>
      </c>
      <c r="T31" s="26">
        <f>T28*Inputs!$F$11</f>
        <v>59.99</v>
      </c>
      <c r="U31" s="26">
        <f>U28*Inputs!$F$11</f>
        <v>59.99</v>
      </c>
      <c r="V31" s="26">
        <f>V28*Inputs!$F$11</f>
        <v>59.99</v>
      </c>
      <c r="W31" s="26">
        <f>W28*Inputs!$F$11</f>
        <v>0.0</v>
      </c>
      <c r="X31" s="26">
        <f>X28*Inputs!$F$11</f>
        <v>0.0</v>
      </c>
      <c r="Z31" s="26">
        <f>Z28*Inputs!$E$11</f>
        <v>49.99</v>
      </c>
      <c r="AA31" s="26">
        <f>AA28*Inputs!$E$11</f>
        <v>49.99</v>
      </c>
      <c r="AB31" s="26">
        <f>AB28*Inputs!$E$11</f>
        <v>49.99</v>
      </c>
      <c r="AC31" s="26">
        <f>AC28*Inputs!$E$11</f>
        <v>0.0</v>
      </c>
      <c r="AD31" s="26">
        <f>AD28*Inputs!$E$11</f>
        <v>0.0</v>
      </c>
      <c r="AF31" s="26">
        <f>AF28*Inputs!$E$11</f>
        <v>49.99</v>
      </c>
      <c r="AG31" s="26">
        <f>AG28*Inputs!$E$11</f>
        <v>49.99</v>
      </c>
      <c r="AH31" s="26">
        <f>AH28*Inputs!$E$11</f>
        <v>49.99</v>
      </c>
      <c r="AI31" s="26">
        <f>AI28*Inputs!$E$11</f>
        <v>0.0</v>
      </c>
      <c r="AJ31" s="26">
        <f>AJ28*Inputs!$E$11</f>
        <v>0.0</v>
      </c>
      <c r="AL31" s="26">
        <f>AL28*Inputs!$E$11</f>
        <v>49.99</v>
      </c>
      <c r="AM31" s="26">
        <f>AM28*Inputs!$E$11</f>
        <v>49.99</v>
      </c>
      <c r="AN31" s="26">
        <f>AN28*Inputs!$E$11</f>
        <v>49.99</v>
      </c>
      <c r="AO31" s="26">
        <f>AO28*Inputs!$E$11</f>
        <v>0.0</v>
      </c>
      <c r="AP31" s="26">
        <f>AP28*Inputs!$E$11</f>
        <v>0.0</v>
      </c>
      <c r="AR31" s="26">
        <f>AR28*Inputs!$E$11</f>
        <v>49.99</v>
      </c>
      <c r="AS31" s="26">
        <f>AS28*Inputs!$E$11</f>
        <v>49.99</v>
      </c>
      <c r="AT31" s="26">
        <f>AT28*Inputs!$E$11</f>
        <v>49.99</v>
      </c>
      <c r="AU31" s="26">
        <f>AU28*Inputs!$E$11</f>
        <v>0.0</v>
      </c>
      <c r="AV31" s="26">
        <f>AV28*Inputs!$E$11</f>
        <v>0.0</v>
      </c>
      <c r="AX31" s="26">
        <f>AX28*Inputs!$E$11</f>
        <v>49.99</v>
      </c>
      <c r="AY31" s="26">
        <f>AY28*Inputs!$E$11</f>
        <v>49.99</v>
      </c>
      <c r="AZ31" s="26">
        <f>AZ28*Inputs!$E$11</f>
        <v>49.99</v>
      </c>
      <c r="BA31" s="26">
        <f>BA28*Inputs!$E$11</f>
        <v>0.0</v>
      </c>
      <c r="BB31" s="26">
        <f>BB28*Inputs!$E$11</f>
        <v>0.0</v>
      </c>
      <c r="BD31" s="26">
        <f>BD28*Inputs!$E$11</f>
        <v>49.99</v>
      </c>
      <c r="BE31" s="26">
        <f>BE28*Inputs!$E$11</f>
        <v>49.99</v>
      </c>
      <c r="BF31" s="26">
        <f>BF28*Inputs!$E$11</f>
        <v>49.99</v>
      </c>
      <c r="BG31" s="26">
        <f>BG28*Inputs!$E$11</f>
        <v>0.0</v>
      </c>
      <c r="BH31" s="26">
        <f>BH28*Inputs!$E$11</f>
        <v>0.0</v>
      </c>
    </row>
    <row r="32">
      <c r="A32" s="3" t="inlineStr">
        <is>
          <t>Revenue - litter mat</t>
        </is>
      </c>
      <c r="B32" s="26">
        <f>B29*Inputs!$G$17</f>
        <v>0.0</v>
      </c>
      <c r="C32" s="26">
        <f>C29*Inputs!$G$17</f>
        <v>0.0</v>
      </c>
      <c r="D32" s="26">
        <f>D29*Inputs!$G$17</f>
        <v>19.99</v>
      </c>
      <c r="E32" s="26">
        <f>E29*Inputs!$G$17</f>
        <v>0.0</v>
      </c>
      <c r="F32" s="26">
        <f>F29*Inputs!$G$17</f>
        <v>0.0</v>
      </c>
      <c r="H32" s="26">
        <f>H29*Inputs!$D$17</f>
        <v>0.0</v>
      </c>
      <c r="I32" s="26">
        <f>I29*Inputs!$D$17</f>
        <v>0.0</v>
      </c>
      <c r="J32" s="26">
        <f>J29*Inputs!$D$17</f>
        <v>16.99</v>
      </c>
      <c r="K32" s="26">
        <f>K29*Inputs!$D$17</f>
        <v>0.0</v>
      </c>
      <c r="L32" s="26">
        <f>L29*Inputs!$D$17</f>
        <v>0.0</v>
      </c>
      <c r="N32" s="26">
        <f>N29*Inputs!$E$17</f>
        <v>0.0</v>
      </c>
      <c r="O32" s="26">
        <f>O29*Inputs!$E$17</f>
        <v>0.0</v>
      </c>
      <c r="P32" s="26">
        <f>P29*Inputs!$E$17</f>
        <v>19.99</v>
      </c>
      <c r="Q32" s="26">
        <f>Q29*Inputs!$E$17</f>
        <v>0.0</v>
      </c>
      <c r="R32" s="26">
        <f>R29*Inputs!$E$17</f>
        <v>0.0</v>
      </c>
      <c r="T32" s="26">
        <f>T29*Inputs!$F$17</f>
        <v>0.0</v>
      </c>
      <c r="U32" s="26">
        <f>U29*Inputs!$F$17</f>
        <v>0.0</v>
      </c>
      <c r="V32" s="26">
        <f>V29*Inputs!$F$17</f>
        <v>22.99</v>
      </c>
      <c r="W32" s="26">
        <f>W29*Inputs!$F$17</f>
        <v>0.0</v>
      </c>
      <c r="X32" s="26">
        <f>X29*Inputs!$F$17</f>
        <v>0.0</v>
      </c>
      <c r="Z32" s="26">
        <f>Z29*Inputs!$E$17</f>
        <v>0.0</v>
      </c>
      <c r="AA32" s="26">
        <f>AA29*Inputs!$E$17</f>
        <v>0.0</v>
      </c>
      <c r="AB32" s="26">
        <f>AB29*Inputs!$E$17</f>
        <v>19.99</v>
      </c>
      <c r="AC32" s="26">
        <f>AC29*Inputs!$E$17</f>
        <v>0.0</v>
      </c>
      <c r="AD32" s="26">
        <f>AD29*Inputs!$E$17</f>
        <v>0.0</v>
      </c>
      <c r="AF32" s="26">
        <f>AF29*Inputs!$E$17</f>
        <v>0.0</v>
      </c>
      <c r="AG32" s="26">
        <f>AG29*Inputs!$E$17</f>
        <v>0.0</v>
      </c>
      <c r="AH32" s="26">
        <f>AH29*Inputs!$E$17</f>
        <v>19.99</v>
      </c>
      <c r="AI32" s="26">
        <f>AI29*Inputs!$E$17</f>
        <v>0.0</v>
      </c>
      <c r="AJ32" s="26">
        <f>AJ29*Inputs!$E$17</f>
        <v>0.0</v>
      </c>
      <c r="AL32" s="26">
        <f>AL29*Inputs!$E$17</f>
        <v>0.0</v>
      </c>
      <c r="AM32" s="26">
        <f>AM29*Inputs!$E$17</f>
        <v>0.0</v>
      </c>
      <c r="AN32" s="26">
        <f>AN29*Inputs!$E$17</f>
        <v>19.99</v>
      </c>
      <c r="AO32" s="26">
        <f>AO29*Inputs!$E$17</f>
        <v>0.0</v>
      </c>
      <c r="AP32" s="26">
        <f>AP29*Inputs!$E$17</f>
        <v>0.0</v>
      </c>
      <c r="AR32" s="26">
        <f>AR29*Inputs!$E$17</f>
        <v>0.0</v>
      </c>
      <c r="AS32" s="26">
        <f>AS29*Inputs!$E$17</f>
        <v>0.0</v>
      </c>
      <c r="AT32" s="26">
        <f>AT29*Inputs!$E$17</f>
        <v>19.99</v>
      </c>
      <c r="AU32" s="26">
        <f>AU29*Inputs!$E$17</f>
        <v>0.0</v>
      </c>
      <c r="AV32" s="26">
        <f>AV29*Inputs!$E$17</f>
        <v>0.0</v>
      </c>
      <c r="AX32" s="26">
        <f>AX29*Inputs!$E$17</f>
        <v>0.0</v>
      </c>
      <c r="AY32" s="26">
        <f>AY29*Inputs!$E$17</f>
        <v>0.0</v>
      </c>
      <c r="AZ32" s="26">
        <f>AZ29*Inputs!$E$17</f>
        <v>19.99</v>
      </c>
      <c r="BA32" s="26">
        <f>BA29*Inputs!$E$17</f>
        <v>0.0</v>
      </c>
      <c r="BB32" s="26">
        <f>BB29*Inputs!$E$17</f>
        <v>0.0</v>
      </c>
      <c r="BD32" s="26">
        <f>BD29*Inputs!$E$17</f>
        <v>0.0</v>
      </c>
      <c r="BE32" s="26">
        <f>BE29*Inputs!$E$17</f>
        <v>0.0</v>
      </c>
      <c r="BF32" s="26">
        <f>BF29*Inputs!$E$17</f>
        <v>19.99</v>
      </c>
      <c r="BG32" s="26">
        <f>BG29*Inputs!$E$17</f>
        <v>0.0</v>
      </c>
      <c r="BH32" s="26">
        <f>BH29*Inputs!$E$17</f>
        <v>0.0</v>
      </c>
    </row>
    <row r="33">
      <c r="A33" s="3" t="inlineStr">
        <is>
          <t>Revenue - filter pack</t>
        </is>
      </c>
      <c r="B33" s="26">
        <f>B30*Inputs!$G$14</f>
        <v>0.0</v>
      </c>
      <c r="C33" s="26">
        <f>C30*Inputs!$G$14</f>
        <v>0.0</v>
      </c>
      <c r="D33" s="26">
        <f>D30*Inputs!$G$14</f>
        <v>0.0</v>
      </c>
      <c r="E33" s="26">
        <f>E30*Inputs!$G$14</f>
        <v>15.290999999999999</v>
      </c>
      <c r="F33" s="26">
        <f>F30*Inputs!$G$12</f>
        <v>16.99</v>
      </c>
      <c r="H33" s="26">
        <f>H30*Inputs!$D$14</f>
        <v>0.0</v>
      </c>
      <c r="I33" s="26">
        <f>I30*Inputs!$D$14</f>
        <v>0.0</v>
      </c>
      <c r="J33" s="26">
        <f>J30*Inputs!$D$14</f>
        <v>0.0</v>
      </c>
      <c r="K33" s="26">
        <f>K30*Inputs!$D$14</f>
        <v>12.7415</v>
      </c>
      <c r="L33" s="26">
        <f>L30*Inputs!$D$12</f>
        <v>14.99</v>
      </c>
      <c r="N33" s="26">
        <f>N30*Inputs!$E$14</f>
        <v>0.0</v>
      </c>
      <c r="O33" s="26">
        <f>O30*Inputs!$E$14</f>
        <v>0.0</v>
      </c>
      <c r="P33" s="26">
        <f>P30*Inputs!$E$14</f>
        <v>0.0</v>
      </c>
      <c r="Q33" s="26">
        <f>Q30*Inputs!$E$14</f>
        <v>15.290999999999999</v>
      </c>
      <c r="R33" s="26">
        <f>R30*Inputs!$E$12</f>
        <v>16.99</v>
      </c>
      <c r="T33" s="26">
        <f>T30*Inputs!$F$14</f>
        <v>0.0</v>
      </c>
      <c r="U33" s="26">
        <f>U30*Inputs!$F$14</f>
        <v>0.0</v>
      </c>
      <c r="V33" s="26">
        <f>V30*Inputs!$F$14</f>
        <v>0.0</v>
      </c>
      <c r="W33" s="26">
        <f>W30*Inputs!$F$14</f>
        <v>15.741</v>
      </c>
      <c r="X33" s="26">
        <f>X30*Inputs!$F$12</f>
        <v>17.49</v>
      </c>
      <c r="Z33" s="26">
        <f>Z30*Inputs!$E$14</f>
        <v>0.0</v>
      </c>
      <c r="AA33" s="26">
        <f>AA30*Inputs!$E$14</f>
        <v>0.0</v>
      </c>
      <c r="AB33" s="26">
        <f>AB30*Inputs!$E$14</f>
        <v>0.0</v>
      </c>
      <c r="AC33" s="26">
        <f>AC30*Inputs!$E$14</f>
        <v>15.290999999999999</v>
      </c>
      <c r="AD33" s="26">
        <f>AD30*Inputs!$E$12</f>
        <v>16.99</v>
      </c>
      <c r="AF33" s="26">
        <f>AF30*Inputs!$E$14</f>
        <v>0.0</v>
      </c>
      <c r="AG33" s="26">
        <f>AG30*Inputs!$E$14</f>
        <v>0.0</v>
      </c>
      <c r="AH33" s="26">
        <f>AH30*Inputs!$E$14</f>
        <v>0.0</v>
      </c>
      <c r="AI33" s="26">
        <f>AI30*Inputs!$E$14</f>
        <v>15.290999999999999</v>
      </c>
      <c r="AJ33" s="26">
        <f>AJ30*Inputs!$E$12</f>
        <v>16.99</v>
      </c>
      <c r="AL33" s="26">
        <f>AL30*Inputs!$E$14</f>
        <v>0.0</v>
      </c>
      <c r="AM33" s="26">
        <f>AM30*Inputs!$E$14</f>
        <v>0.0</v>
      </c>
      <c r="AN33" s="26">
        <f>AN30*Inputs!$E$14</f>
        <v>0.0</v>
      </c>
      <c r="AO33" s="26">
        <f>AO30*Inputs!$E$14</f>
        <v>15.290999999999999</v>
      </c>
      <c r="AP33" s="26">
        <f>AP30*Inputs!$E$12</f>
        <v>16.99</v>
      </c>
      <c r="AR33" s="26">
        <f>AR30*Inputs!$E$14</f>
        <v>0.0</v>
      </c>
      <c r="AS33" s="26">
        <f>AS30*Inputs!$E$14</f>
        <v>0.0</v>
      </c>
      <c r="AT33" s="26">
        <f>AT30*Inputs!$E$14</f>
        <v>0.0</v>
      </c>
      <c r="AU33" s="26">
        <f>AU30*Inputs!$E$14</f>
        <v>15.290999999999999</v>
      </c>
      <c r="AV33" s="26">
        <f>AV30*Inputs!$E$12</f>
        <v>16.99</v>
      </c>
      <c r="AX33" s="26">
        <f>AX30*Inputs!$E$14</f>
        <v>0.0</v>
      </c>
      <c r="AY33" s="26">
        <f>AY30*Inputs!$E$14</f>
        <v>0.0</v>
      </c>
      <c r="AZ33" s="26">
        <f>AZ30*Inputs!$E$14</f>
        <v>0.0</v>
      </c>
      <c r="BA33" s="26">
        <f>BA30*Inputs!$E$14</f>
        <v>15.290999999999999</v>
      </c>
      <c r="BB33" s="26">
        <f>BB30*Inputs!$E$12</f>
        <v>16.99</v>
      </c>
      <c r="BD33" s="26">
        <f>BD30*Inputs!$E$14</f>
        <v>0.0</v>
      </c>
      <c r="BE33" s="26">
        <f>BE30*Inputs!$E$14</f>
        <v>0.0</v>
      </c>
      <c r="BF33" s="26">
        <f>BF30*Inputs!$E$14</f>
        <v>0.0</v>
      </c>
      <c r="BG33" s="26">
        <f>BG30*Inputs!$E$14</f>
        <v>15.290999999999999</v>
      </c>
      <c r="BH33" s="26">
        <f>BH30*Inputs!$E$12</f>
        <v>16.99</v>
      </c>
    </row>
    <row r="34">
      <c r="A34" s="3" t="inlineStr">
        <is>
          <t>Shipping charged to customer</t>
        </is>
      </c>
      <c r="B34" s="26" t="n">
        <v>0</v>
      </c>
      <c r="C34" s="26" t="n">
        <v>0</v>
      </c>
      <c r="D34" s="26" t="n">
        <v>0</v>
      </c>
      <c r="E34" s="26" t="n">
        <v>0</v>
      </c>
      <c r="F34" s="39">
        <f>Inputs!$G$16</f>
        <v>0.0</v>
      </c>
      <c r="H34" s="26" t="n">
        <v>0</v>
      </c>
      <c r="I34" s="26" t="n">
        <v>0</v>
      </c>
      <c r="J34" s="26" t="n">
        <v>0</v>
      </c>
      <c r="K34" s="26" t="n">
        <v>0</v>
      </c>
      <c r="L34" s="39">
        <f>Inputs!$D$16</f>
        <v>0.0</v>
      </c>
      <c r="N34" s="26" t="n">
        <v>0</v>
      </c>
      <c r="O34" s="26" t="n">
        <v>0</v>
      </c>
      <c r="P34" s="26" t="n">
        <v>0</v>
      </c>
      <c r="Q34" s="26" t="n">
        <v>0</v>
      </c>
      <c r="R34" s="39">
        <f>Inputs!$E$16</f>
        <v>0.0</v>
      </c>
      <c r="T34" s="26" t="n">
        <v>0</v>
      </c>
      <c r="U34" s="26" t="n">
        <v>0</v>
      </c>
      <c r="V34" s="26" t="n">
        <v>0</v>
      </c>
      <c r="W34" s="26" t="n">
        <v>0</v>
      </c>
      <c r="X34" s="39">
        <f>Inputs!$F$16</f>
        <v>3.99</v>
      </c>
      <c r="Z34" s="26" t="n">
        <v>0</v>
      </c>
      <c r="AA34" s="26" t="n">
        <v>0</v>
      </c>
      <c r="AB34" s="26" t="n">
        <v>0</v>
      </c>
      <c r="AC34" s="26" t="n">
        <v>0</v>
      </c>
      <c r="AD34" s="39">
        <f>Inputs!$E$16</f>
        <v>0.0</v>
      </c>
      <c r="AF34" s="26" t="n">
        <v>0</v>
      </c>
      <c r="AG34" s="26" t="n">
        <v>0</v>
      </c>
      <c r="AH34" s="26" t="n">
        <v>0</v>
      </c>
      <c r="AI34" s="26" t="n">
        <v>0</v>
      </c>
      <c r="AJ34" s="39">
        <f>Inputs!$E$16</f>
        <v>0.0</v>
      </c>
      <c r="AL34" s="26" t="n">
        <v>0</v>
      </c>
      <c r="AM34" s="26" t="n">
        <v>0</v>
      </c>
      <c r="AN34" s="26" t="n">
        <v>0</v>
      </c>
      <c r="AO34" s="26" t="n">
        <v>0</v>
      </c>
      <c r="AP34" s="39">
        <f>Inputs!$E$16</f>
        <v>0.0</v>
      </c>
      <c r="AR34" s="26" t="n">
        <v>0</v>
      </c>
      <c r="AS34" s="26" t="n">
        <v>0</v>
      </c>
      <c r="AT34" s="26" t="n">
        <v>0</v>
      </c>
      <c r="AU34" s="26" t="n">
        <v>0</v>
      </c>
      <c r="AV34" s="39">
        <f>Inputs!$E$16</f>
        <v>0.0</v>
      </c>
      <c r="AX34" s="26" t="n">
        <v>0</v>
      </c>
      <c r="AY34" s="26" t="n">
        <v>0</v>
      </c>
      <c r="AZ34" s="26" t="n">
        <v>0</v>
      </c>
      <c r="BA34" s="26" t="n">
        <v>0</v>
      </c>
      <c r="BB34" s="39">
        <f>Inputs!$E$16</f>
        <v>0.0</v>
      </c>
      <c r="BD34" s="26" t="n">
        <v>0</v>
      </c>
      <c r="BE34" s="26" t="n">
        <v>0</v>
      </c>
      <c r="BF34" s="26" t="n">
        <v>0</v>
      </c>
      <c r="BG34" s="26" t="n">
        <v>0</v>
      </c>
      <c r="BH34" s="39">
        <f>Inputs!$E$16</f>
        <v>0.0</v>
      </c>
    </row>
    <row r="35">
      <c r="A35" s="16" t="inlineStr">
        <is>
          <t>Gross revenue</t>
        </is>
      </c>
      <c r="B35" s="23">
        <f>SUM(B31:B34)</f>
        <v>49.99</v>
      </c>
      <c r="C35" s="23">
        <f>SUM(C31:C34)</f>
        <v>49.99</v>
      </c>
      <c r="D35" s="23">
        <f>SUM(D31:D34)</f>
        <v>69.98</v>
      </c>
      <c r="E35" s="23">
        <f>SUM(E31:E34)</f>
        <v>15.290999999999999</v>
      </c>
      <c r="F35" s="23">
        <f>SUM(F31:F34)</f>
        <v>16.99</v>
      </c>
      <c r="H35" s="23">
        <f>SUM(H31:H34)</f>
        <v>44.99</v>
      </c>
      <c r="I35" s="23">
        <f>SUM(I31:I34)</f>
        <v>44.99</v>
      </c>
      <c r="J35" s="23">
        <f>SUM(J31:J34)</f>
        <v>61.980000000000004</v>
      </c>
      <c r="K35" s="23">
        <f>SUM(K31:K34)</f>
        <v>12.7415</v>
      </c>
      <c r="L35" s="23">
        <f>SUM(L31:L34)</f>
        <v>14.99</v>
      </c>
      <c r="N35" s="23">
        <f>SUM(N31:N34)</f>
        <v>49.99</v>
      </c>
      <c r="O35" s="23">
        <f>SUM(O31:O34)</f>
        <v>49.99</v>
      </c>
      <c r="P35" s="23">
        <f>SUM(P31:P34)</f>
        <v>69.98</v>
      </c>
      <c r="Q35" s="23">
        <f>SUM(Q31:Q34)</f>
        <v>15.290999999999999</v>
      </c>
      <c r="R35" s="23">
        <f>SUM(R31:R34)</f>
        <v>16.99</v>
      </c>
      <c r="T35" s="23">
        <f>SUM(T31:T34)</f>
        <v>59.99</v>
      </c>
      <c r="U35" s="23">
        <f>SUM(U31:U34)</f>
        <v>59.99</v>
      </c>
      <c r="V35" s="23">
        <f>SUM(V31:V34)</f>
        <v>82.98</v>
      </c>
      <c r="W35" s="23">
        <f>SUM(W31:W34)</f>
        <v>15.741</v>
      </c>
      <c r="X35" s="23">
        <f>SUM(X31:X34)</f>
        <v>21.479999999999997</v>
      </c>
      <c r="Z35" s="23">
        <f>SUM(Z31:Z34)</f>
        <v>49.99</v>
      </c>
      <c r="AA35" s="23">
        <f>SUM(AA31:AA34)</f>
        <v>49.99</v>
      </c>
      <c r="AB35" s="23">
        <f>SUM(AB31:AB34)</f>
        <v>69.98</v>
      </c>
      <c r="AC35" s="23">
        <f>SUM(AC31:AC34)</f>
        <v>15.290999999999999</v>
      </c>
      <c r="AD35" s="23">
        <f>SUM(AD31:AD34)</f>
        <v>16.99</v>
      </c>
      <c r="AF35" s="23">
        <f>SUM(AF31:AF34)</f>
        <v>49.99</v>
      </c>
      <c r="AG35" s="23">
        <f>SUM(AG31:AG34)</f>
        <v>49.99</v>
      </c>
      <c r="AH35" s="23">
        <f>SUM(AH31:AH34)</f>
        <v>69.98</v>
      </c>
      <c r="AI35" s="23">
        <f>SUM(AI31:AI34)</f>
        <v>15.290999999999999</v>
      </c>
      <c r="AJ35" s="23">
        <f>SUM(AJ31:AJ34)</f>
        <v>16.99</v>
      </c>
      <c r="AL35" s="23">
        <f>SUM(AL31:AL34)</f>
        <v>49.99</v>
      </c>
      <c r="AM35" s="23">
        <f>SUM(AM31:AM34)</f>
        <v>49.99</v>
      </c>
      <c r="AN35" s="23">
        <f>SUM(AN31:AN34)</f>
        <v>69.98</v>
      </c>
      <c r="AO35" s="23">
        <f>SUM(AO31:AO34)</f>
        <v>15.290999999999999</v>
      </c>
      <c r="AP35" s="23">
        <f>SUM(AP31:AP34)</f>
        <v>16.99</v>
      </c>
      <c r="AR35" s="23">
        <f>SUM(AR31:AR34)</f>
        <v>49.99</v>
      </c>
      <c r="AS35" s="23">
        <f>SUM(AS31:AS34)</f>
        <v>49.99</v>
      </c>
      <c r="AT35" s="23">
        <f>SUM(AT31:AT34)</f>
        <v>69.98</v>
      </c>
      <c r="AU35" s="23">
        <f>SUM(AU31:AU34)</f>
        <v>15.290999999999999</v>
      </c>
      <c r="AV35" s="23">
        <f>SUM(AV31:AV34)</f>
        <v>16.99</v>
      </c>
      <c r="AX35" s="23">
        <f>SUM(AX31:AX34)</f>
        <v>49.99</v>
      </c>
      <c r="AY35" s="23">
        <f>SUM(AY31:AY34)</f>
        <v>49.99</v>
      </c>
      <c r="AZ35" s="23">
        <f>SUM(AZ31:AZ34)</f>
        <v>69.98</v>
      </c>
      <c r="BA35" s="23">
        <f>SUM(BA31:BA34)</f>
        <v>15.290999999999999</v>
      </c>
      <c r="BB35" s="23">
        <f>SUM(BB31:BB34)</f>
        <v>16.99</v>
      </c>
      <c r="BD35" s="23">
        <f>SUM(BD31:BD34)</f>
        <v>49.99</v>
      </c>
      <c r="BE35" s="23">
        <f>SUM(BE31:BE34)</f>
        <v>49.99</v>
      </c>
      <c r="BF35" s="23">
        <f>SUM(BF31:BF34)</f>
        <v>69.98</v>
      </c>
      <c r="BG35" s="23">
        <f>SUM(BG31:BG34)</f>
        <v>15.290999999999999</v>
      </c>
      <c r="BH35" s="23">
        <f>SUM(BH31:BH34)</f>
        <v>16.99</v>
      </c>
    </row>
    <row r="36">
      <c r="A36" s="3" t="inlineStr">
        <is>
          <t>Refunds / returns (revenue reversed)</t>
        </is>
      </c>
      <c r="B36" s="26">
        <f>-(B31*Inputs!$G$102+(B32+B33)*Inputs!$G$104)*$B$12</f>
        <v>-2.4995000000000003</v>
      </c>
      <c r="C36" s="26">
        <f>-(C31*Inputs!$G$102+(C32+C33)*Inputs!$G$104)*$B$12</f>
        <v>-2.4995000000000003</v>
      </c>
      <c r="D36" s="26">
        <f>-(D31*Inputs!$G$102+(D32+D33)*Inputs!$G$104)*$B$12</f>
        <v>-2.6994000000000002</v>
      </c>
      <c r="E36" s="26">
        <f>-(E31*Inputs!$G$102+(E32+E33)*Inputs!$G$104)*$B$12</f>
        <v>-0.15291</v>
      </c>
      <c r="F36" s="26">
        <f>-(F31*Inputs!$G$102+(F32+F33)*Inputs!$G$104)*$B$12</f>
        <v>-0.1699</v>
      </c>
      <c r="H36" s="26">
        <f>-(H31*Inputs!$D$102+(H32+H33)*Inputs!$D$104)*$H$12</f>
        <v>-3.5992</v>
      </c>
      <c r="I36" s="26">
        <f>-(I31*Inputs!$D$102+(I32+I33)*Inputs!$D$104)*$H$12</f>
        <v>-3.5992</v>
      </c>
      <c r="J36" s="26">
        <f>-(J31*Inputs!$D$102+(J32+J33)*Inputs!$D$104)*$H$12</f>
        <v>-3.939</v>
      </c>
      <c r="K36" s="26">
        <f>-(K31*Inputs!$D$102+(K32+K33)*Inputs!$D$104)*$H$12</f>
        <v>-0.25483</v>
      </c>
      <c r="L36" s="26">
        <f>-(L31*Inputs!$D$102+(L32+L33)*Inputs!$D$104)*$H$12</f>
        <v>-0.2998</v>
      </c>
      <c r="N36" s="26">
        <f>-(N31*Inputs!$E$102+(N32+N33)*Inputs!$E$104)*$N$12</f>
        <v>-2.4995000000000003</v>
      </c>
      <c r="O36" s="26">
        <f>-(O31*Inputs!$E$102+(O32+O33)*Inputs!$E$104)*$N$12</f>
        <v>-2.4995000000000003</v>
      </c>
      <c r="P36" s="26">
        <f>-(P31*Inputs!$E$102+(P32+P33)*Inputs!$E$104)*$N$12</f>
        <v>-2.6994000000000002</v>
      </c>
      <c r="Q36" s="26">
        <f>-(Q31*Inputs!$E$102+(Q32+Q33)*Inputs!$E$104)*$N$12</f>
        <v>-0.15291</v>
      </c>
      <c r="R36" s="26">
        <f>-(R31*Inputs!$E$102+(R32+R33)*Inputs!$E$104)*$N$12</f>
        <v>-0.1699</v>
      </c>
      <c r="T36" s="26">
        <f>-(T31*Inputs!$F$102+(T32+T33)*Inputs!$F$104)*$T$12</f>
        <v>-1.7997</v>
      </c>
      <c r="U36" s="26">
        <f>-(U31*Inputs!$F$102+(U32+U33)*Inputs!$F$104)*$T$12</f>
        <v>-1.7997</v>
      </c>
      <c r="V36" s="26">
        <f>-(V31*Inputs!$F$102+(V32+V33)*Inputs!$F$104)*$T$12</f>
        <v>-1.91465</v>
      </c>
      <c r="W36" s="26">
        <f>-(W31*Inputs!$F$102+(W32+W33)*Inputs!$F$104)*$T$12</f>
        <v>-0.078705</v>
      </c>
      <c r="X36" s="26">
        <f>-(X31*Inputs!$F$102+(X32+X33)*Inputs!$F$104)*$T$12</f>
        <v>-0.08745</v>
      </c>
      <c r="Z36" s="26">
        <f>-(Z31*Inputs!$E$102+(Z32+Z33)*Inputs!$E$104)*$Z$12</f>
        <v>-2.4995000000000003</v>
      </c>
      <c r="AA36" s="26">
        <f>-(AA31*Inputs!$E$102+(AA32+AA33)*Inputs!$E$104)*$Z$12</f>
        <v>-2.4995000000000003</v>
      </c>
      <c r="AB36" s="26">
        <f>-(AB31*Inputs!$E$102+(AB32+AB33)*Inputs!$E$104)*$Z$12</f>
        <v>-2.6994000000000002</v>
      </c>
      <c r="AC36" s="26">
        <f>-(AC31*Inputs!$E$102+(AC32+AC33)*Inputs!$E$104)*$Z$12</f>
        <v>-0.15291</v>
      </c>
      <c r="AD36" s="26">
        <f>-(AD31*Inputs!$E$102+(AD32+AD33)*Inputs!$E$104)*$Z$12</f>
        <v>-0.1699</v>
      </c>
      <c r="AF36" s="26">
        <f>-(AF31*Inputs!$E$102+(AF32+AF33)*Inputs!$E$104)*$AF$12</f>
        <v>-2.4995000000000003</v>
      </c>
      <c r="AG36" s="26">
        <f>-(AG31*Inputs!$E$102+(AG32+AG33)*Inputs!$E$104)*$AF$12</f>
        <v>-2.4995000000000003</v>
      </c>
      <c r="AH36" s="26">
        <f>-(AH31*Inputs!$E$102+(AH32+AH33)*Inputs!$E$104)*$AF$12</f>
        <v>-2.6994000000000002</v>
      </c>
      <c r="AI36" s="26">
        <f>-(AI31*Inputs!$E$102+(AI32+AI33)*Inputs!$E$104)*$AF$12</f>
        <v>-0.15291</v>
      </c>
      <c r="AJ36" s="26">
        <f>-(AJ31*Inputs!$E$102+(AJ32+AJ33)*Inputs!$E$104)*$AF$12</f>
        <v>-0.1699</v>
      </c>
      <c r="AL36" s="26">
        <f>-(AL31*Inputs!$E$102+(AL32+AL33)*Inputs!$E$104)*$AL$12</f>
        <v>-2.4995000000000003</v>
      </c>
      <c r="AM36" s="26">
        <f>-(AM31*Inputs!$E$102+(AM32+AM33)*Inputs!$E$104)*$AL$12</f>
        <v>-2.4995000000000003</v>
      </c>
      <c r="AN36" s="26">
        <f>-(AN31*Inputs!$E$102+(AN32+AN33)*Inputs!$E$104)*$AL$12</f>
        <v>-2.6994000000000002</v>
      </c>
      <c r="AO36" s="26">
        <f>-(AO31*Inputs!$E$102+(AO32+AO33)*Inputs!$E$104)*$AL$12</f>
        <v>-0.15291</v>
      </c>
      <c r="AP36" s="26">
        <f>-(AP31*Inputs!$E$102+(AP32+AP33)*Inputs!$E$104)*$AL$12</f>
        <v>-0.1699</v>
      </c>
      <c r="AR36" s="26">
        <f>-(AR31*Inputs!$E$102+(AR32+AR33)*Inputs!$E$104)*$AR$12</f>
        <v>-2.4995000000000003</v>
      </c>
      <c r="AS36" s="26">
        <f>-(AS31*Inputs!$E$102+(AS32+AS33)*Inputs!$E$104)*$AR$12</f>
        <v>-2.4995000000000003</v>
      </c>
      <c r="AT36" s="26">
        <f>-(AT31*Inputs!$E$102+(AT32+AT33)*Inputs!$E$104)*$AR$12</f>
        <v>-2.6994000000000002</v>
      </c>
      <c r="AU36" s="26">
        <f>-(AU31*Inputs!$E$102+(AU32+AU33)*Inputs!$E$104)*$AR$12</f>
        <v>-0.15291</v>
      </c>
      <c r="AV36" s="26">
        <f>-(AV31*Inputs!$E$102+(AV32+AV33)*Inputs!$E$104)*$AR$12</f>
        <v>-0.1699</v>
      </c>
      <c r="AX36" s="26">
        <f>-(AX31*Inputs!$E$102+(AX32+AX33)*Inputs!$E$104)*$AX$12</f>
        <v>-2.4995000000000003</v>
      </c>
      <c r="AY36" s="26">
        <f>-(AY31*Inputs!$E$102+(AY32+AY33)*Inputs!$E$104)*$AX$12</f>
        <v>-2.4995000000000003</v>
      </c>
      <c r="AZ36" s="26">
        <f>-(AZ31*Inputs!$E$102+(AZ32+AZ33)*Inputs!$E$104)*$AX$12</f>
        <v>-2.6994000000000002</v>
      </c>
      <c r="BA36" s="26">
        <f>-(BA31*Inputs!$E$102+(BA32+BA33)*Inputs!$E$104)*$AX$12</f>
        <v>-0.15291</v>
      </c>
      <c r="BB36" s="26">
        <f>-(BB31*Inputs!$E$102+(BB32+BB33)*Inputs!$E$104)*$AX$12</f>
        <v>-0.1699</v>
      </c>
      <c r="BD36" s="26">
        <f>-(BD31*Inputs!$E$102+(BD32+BD33)*Inputs!$E$104)*$BD$12</f>
        <v>-4.9990000000000006</v>
      </c>
      <c r="BE36" s="26">
        <f>-(BE31*Inputs!$E$102+(BE32+BE33)*Inputs!$E$104)*$BD$12</f>
        <v>-4.9990000000000006</v>
      </c>
      <c r="BF36" s="26">
        <f>-(BF31*Inputs!$E$102+(BF32+BF33)*Inputs!$E$104)*$BD$12</f>
        <v>-5.3988000000000005</v>
      </c>
      <c r="BG36" s="26">
        <f>-(BG31*Inputs!$E$102+(BG32+BG33)*Inputs!$E$104)*$BD$12</f>
        <v>-0.30582</v>
      </c>
      <c r="BH36" s="26">
        <f>-(BH31*Inputs!$E$102+(BH32+BH33)*Inputs!$E$104)*$BD$12</f>
        <v>-0.3398</v>
      </c>
    </row>
    <row r="37">
      <c r="A37" s="16" t="inlineStr">
        <is>
          <t>Net revenue</t>
        </is>
      </c>
      <c r="B37" s="23">
        <f>B35+B36</f>
        <v>47.490500000000004</v>
      </c>
      <c r="C37" s="23">
        <f>C35+C36</f>
        <v>47.490500000000004</v>
      </c>
      <c r="D37" s="23">
        <f>D35+D36</f>
        <v>67.2806</v>
      </c>
      <c r="E37" s="23">
        <f>E35+E36</f>
        <v>15.138089999999998</v>
      </c>
      <c r="F37" s="23">
        <f>F35+F36</f>
        <v>16.8201</v>
      </c>
      <c r="H37" s="23">
        <f>H35+H36</f>
        <v>41.3908</v>
      </c>
      <c r="I37" s="23">
        <f>I35+I36</f>
        <v>41.3908</v>
      </c>
      <c r="J37" s="23">
        <f>J35+J36</f>
        <v>58.041000000000004</v>
      </c>
      <c r="K37" s="23">
        <f>K35+K36</f>
        <v>12.48667</v>
      </c>
      <c r="L37" s="23">
        <f>L35+L36</f>
        <v>14.6902</v>
      </c>
      <c r="N37" s="23">
        <f>N35+N36</f>
        <v>47.490500000000004</v>
      </c>
      <c r="O37" s="23">
        <f>O35+O36</f>
        <v>47.490500000000004</v>
      </c>
      <c r="P37" s="23">
        <f>P35+P36</f>
        <v>67.2806</v>
      </c>
      <c r="Q37" s="23">
        <f>Q35+Q36</f>
        <v>15.138089999999998</v>
      </c>
      <c r="R37" s="23">
        <f>R35+R36</f>
        <v>16.8201</v>
      </c>
      <c r="T37" s="23">
        <f>T35+T36</f>
        <v>58.1903</v>
      </c>
      <c r="U37" s="23">
        <f>U35+U36</f>
        <v>58.1903</v>
      </c>
      <c r="V37" s="23">
        <f>V35+V36</f>
        <v>81.06535000000001</v>
      </c>
      <c r="W37" s="23">
        <f>W35+W36</f>
        <v>15.662295</v>
      </c>
      <c r="X37" s="23">
        <f>X35+X36</f>
        <v>21.392549999999996</v>
      </c>
      <c r="Z37" s="23">
        <f>Z35+Z36</f>
        <v>47.490500000000004</v>
      </c>
      <c r="AA37" s="23">
        <f>AA35+AA36</f>
        <v>47.490500000000004</v>
      </c>
      <c r="AB37" s="23">
        <f>AB35+AB36</f>
        <v>67.2806</v>
      </c>
      <c r="AC37" s="23">
        <f>AC35+AC36</f>
        <v>15.138089999999998</v>
      </c>
      <c r="AD37" s="23">
        <f>AD35+AD36</f>
        <v>16.8201</v>
      </c>
      <c r="AF37" s="23">
        <f>AF35+AF36</f>
        <v>47.490500000000004</v>
      </c>
      <c r="AG37" s="23">
        <f>AG35+AG36</f>
        <v>47.490500000000004</v>
      </c>
      <c r="AH37" s="23">
        <f>AH35+AH36</f>
        <v>67.2806</v>
      </c>
      <c r="AI37" s="23">
        <f>AI35+AI36</f>
        <v>15.138089999999998</v>
      </c>
      <c r="AJ37" s="23">
        <f>AJ35+AJ36</f>
        <v>16.8201</v>
      </c>
      <c r="AL37" s="23">
        <f>AL35+AL36</f>
        <v>47.490500000000004</v>
      </c>
      <c r="AM37" s="23">
        <f>AM35+AM36</f>
        <v>47.490500000000004</v>
      </c>
      <c r="AN37" s="23">
        <f>AN35+AN36</f>
        <v>67.2806</v>
      </c>
      <c r="AO37" s="23">
        <f>AO35+AO36</f>
        <v>15.138089999999998</v>
      </c>
      <c r="AP37" s="23">
        <f>AP35+AP36</f>
        <v>16.8201</v>
      </c>
      <c r="AR37" s="23">
        <f>AR35+AR36</f>
        <v>47.490500000000004</v>
      </c>
      <c r="AS37" s="23">
        <f>AS35+AS36</f>
        <v>47.490500000000004</v>
      </c>
      <c r="AT37" s="23">
        <f>AT35+AT36</f>
        <v>67.2806</v>
      </c>
      <c r="AU37" s="23">
        <f>AU35+AU36</f>
        <v>15.138089999999998</v>
      </c>
      <c r="AV37" s="23">
        <f>AV35+AV36</f>
        <v>16.8201</v>
      </c>
      <c r="AX37" s="23">
        <f>AX35+AX36</f>
        <v>47.490500000000004</v>
      </c>
      <c r="AY37" s="23">
        <f>AY35+AY36</f>
        <v>47.490500000000004</v>
      </c>
      <c r="AZ37" s="23">
        <f>AZ35+AZ36</f>
        <v>67.2806</v>
      </c>
      <c r="BA37" s="23">
        <f>BA35+BA36</f>
        <v>15.138089999999998</v>
      </c>
      <c r="BB37" s="23">
        <f>BB35+BB36</f>
        <v>16.8201</v>
      </c>
      <c r="BD37" s="23">
        <f>BD35+BD36</f>
        <v>44.991</v>
      </c>
      <c r="BE37" s="23">
        <f>BE35+BE36</f>
        <v>44.991</v>
      </c>
      <c r="BF37" s="23">
        <f>BF35+BF36</f>
        <v>64.58120000000001</v>
      </c>
      <c r="BG37" s="23">
        <f>BG35+BG36</f>
        <v>14.985179999999998</v>
      </c>
      <c r="BH37" s="23">
        <f>BH35+BH36</f>
        <v>16.650199999999998</v>
      </c>
    </row>
    <row r="38">
      <c r="A38" s="3" t="inlineStr">
        <is>
          <t>Product cost - fountain</t>
        </is>
      </c>
      <c r="B38" s="26">
        <f>-B28*$B$15</f>
        <v>-38.3265</v>
      </c>
      <c r="C38" s="26">
        <f>-C28*$B$22</f>
        <v>-25.9656225</v>
      </c>
      <c r="D38" s="26">
        <f>-D28*$B$22</f>
        <v>-25.9656225</v>
      </c>
      <c r="E38" s="26">
        <f>-E28*$B$22</f>
        <v>-0.0</v>
      </c>
      <c r="F38" s="26">
        <f>-F28*$B$22</f>
        <v>-0.0</v>
      </c>
      <c r="H38" s="26">
        <f>-H28*$H$15</f>
        <v>-48.564</v>
      </c>
      <c r="I38" s="26">
        <f>-I28*$H$22</f>
        <v>-41.200697500000004</v>
      </c>
      <c r="J38" s="26">
        <f>-J28*$H$22</f>
        <v>-41.200697500000004</v>
      </c>
      <c r="K38" s="26">
        <f>-K28*$H$22</f>
        <v>-0.0</v>
      </c>
      <c r="L38" s="26">
        <f>-L28*$H$22</f>
        <v>-0.0</v>
      </c>
      <c r="N38" s="26">
        <f>-N28*$N$15</f>
        <v>-38.3265</v>
      </c>
      <c r="O38" s="26">
        <f>-O28*$N$22</f>
        <v>-25.9656225</v>
      </c>
      <c r="P38" s="26">
        <f>-P28*$N$22</f>
        <v>-25.9656225</v>
      </c>
      <c r="Q38" s="26">
        <f>-Q28*$N$22</f>
        <v>-0.0</v>
      </c>
      <c r="R38" s="26">
        <f>-R28*$N$22</f>
        <v>-0.0</v>
      </c>
      <c r="T38" s="26">
        <f>-T28*$T$15</f>
        <v>-21.79</v>
      </c>
      <c r="U38" s="26">
        <f>-U28*$T$22</f>
        <v>-15.60878</v>
      </c>
      <c r="V38" s="26">
        <f>-V28*$T$22</f>
        <v>-15.60878</v>
      </c>
      <c r="W38" s="26">
        <f>-W28*$T$22</f>
        <v>-0.0</v>
      </c>
      <c r="X38" s="26">
        <f>-X28*$T$22</f>
        <v>-0.0</v>
      </c>
      <c r="Z38" s="26">
        <f>-Z28*$Z$15</f>
        <v>-38.3265</v>
      </c>
      <c r="AA38" s="26">
        <f>-AA28*$Z$22</f>
        <v>-25.9656225</v>
      </c>
      <c r="AB38" s="26">
        <f>-AB28*$Z$22</f>
        <v>-25.9656225</v>
      </c>
      <c r="AC38" s="26">
        <f>-AC28*$Z$22</f>
        <v>-0.0</v>
      </c>
      <c r="AD38" s="26">
        <f>-AD28*$Z$22</f>
        <v>-0.0</v>
      </c>
      <c r="AF38" s="26">
        <f>-AF28*$AF$15</f>
        <v>-44.075475000000004</v>
      </c>
      <c r="AG38" s="26">
        <f>-AG28*$AF$22</f>
        <v>-28.395391874999998</v>
      </c>
      <c r="AH38" s="26">
        <f>-AH28*$AF$22</f>
        <v>-28.395391874999998</v>
      </c>
      <c r="AI38" s="26">
        <f>-AI28*$AF$22</f>
        <v>-0.0</v>
      </c>
      <c r="AJ38" s="26">
        <f>-AJ28*$AF$22</f>
        <v>-0.0</v>
      </c>
      <c r="AL38" s="26">
        <f>-AL28*$AL$15</f>
        <v>-38.3265</v>
      </c>
      <c r="AM38" s="26">
        <f>-AM28*$AL$22</f>
        <v>-25.9656225</v>
      </c>
      <c r="AN38" s="26">
        <f>-AN28*$AL$22</f>
        <v>-25.9656225</v>
      </c>
      <c r="AO38" s="26">
        <f>-AO28*$AL$22</f>
        <v>-0.0</v>
      </c>
      <c r="AP38" s="26">
        <f>-AP28*$AL$22</f>
        <v>-0.0</v>
      </c>
      <c r="AR38" s="26">
        <f>-AR28*$AR$15</f>
        <v>-38.3265</v>
      </c>
      <c r="AS38" s="26">
        <f>-AS28*$AR$22</f>
        <v>-25.9656225</v>
      </c>
      <c r="AT38" s="26">
        <f>-AT28*$AR$22</f>
        <v>-25.9656225</v>
      </c>
      <c r="AU38" s="26">
        <f>-AU28*$AR$22</f>
        <v>-0.0</v>
      </c>
      <c r="AV38" s="26">
        <f>-AV28*$AR$22</f>
        <v>-0.0</v>
      </c>
      <c r="AX38" s="26">
        <f>-AX28*$AX$15</f>
        <v>-38.3265</v>
      </c>
      <c r="AY38" s="26">
        <f>-AY28*$AX$22</f>
        <v>-25.9656225</v>
      </c>
      <c r="AZ38" s="26">
        <f>-AZ28*$AX$22</f>
        <v>-25.9656225</v>
      </c>
      <c r="BA38" s="26">
        <f>-BA28*$AX$22</f>
        <v>-0.0</v>
      </c>
      <c r="BB38" s="26">
        <f>-BB28*$AX$22</f>
        <v>-0.0</v>
      </c>
      <c r="BD38" s="26">
        <f>-BD28*$BD$15</f>
        <v>-38.3265</v>
      </c>
      <c r="BE38" s="26">
        <f>-BE28*$BD$22</f>
        <v>-25.9656225</v>
      </c>
      <c r="BF38" s="26">
        <f>-BF28*$BD$22</f>
        <v>-25.9656225</v>
      </c>
      <c r="BG38" s="26">
        <f>-BG28*$BD$22</f>
        <v>-0.0</v>
      </c>
      <c r="BH38" s="26">
        <f>-BH28*$BD$22</f>
        <v>-0.0</v>
      </c>
    </row>
    <row r="39">
      <c r="A39" s="3" t="inlineStr">
        <is>
          <t>Product cost - litter mat</t>
        </is>
      </c>
      <c r="B39" s="26">
        <f>-B29*$B$23</f>
        <v>-0.0</v>
      </c>
      <c r="C39" s="26">
        <f>-C29*$B$23</f>
        <v>-0.0</v>
      </c>
      <c r="D39" s="26">
        <f>-D29*$B$23</f>
        <v>-5.075</v>
      </c>
      <c r="E39" s="26">
        <f>-E29*$B$23</f>
        <v>-0.0</v>
      </c>
      <c r="F39" s="26">
        <f>-F29*$B$23</f>
        <v>-0.0</v>
      </c>
      <c r="H39" s="26">
        <f>-H29*$H$23</f>
        <v>-0.0</v>
      </c>
      <c r="I39" s="26">
        <f>-I29*$H$23</f>
        <v>-0.0</v>
      </c>
      <c r="J39" s="26">
        <f>-J29*$H$23</f>
        <v>-6.7</v>
      </c>
      <c r="K39" s="26">
        <f>-K29*$H$23</f>
        <v>-0.0</v>
      </c>
      <c r="L39" s="26">
        <f>-L29*$H$23</f>
        <v>-0.0</v>
      </c>
      <c r="N39" s="26">
        <f>-N29*$N$23</f>
        <v>-0.0</v>
      </c>
      <c r="O39" s="26">
        <f>-O29*$N$23</f>
        <v>-0.0</v>
      </c>
      <c r="P39" s="26">
        <f>-P29*$N$23</f>
        <v>-5.075</v>
      </c>
      <c r="Q39" s="26">
        <f>-Q29*$N$23</f>
        <v>-0.0</v>
      </c>
      <c r="R39" s="26">
        <f>-R29*$N$23</f>
        <v>-0.0</v>
      </c>
      <c r="T39" s="26">
        <f>-T29*$T$23</f>
        <v>-0.0</v>
      </c>
      <c r="U39" s="26">
        <f>-U29*$T$23</f>
        <v>-0.0</v>
      </c>
      <c r="V39" s="26">
        <f>-V29*$T$23</f>
        <v>-3.0</v>
      </c>
      <c r="W39" s="26">
        <f>-W29*$T$23</f>
        <v>-0.0</v>
      </c>
      <c r="X39" s="26">
        <f>-X29*$T$23</f>
        <v>-0.0</v>
      </c>
      <c r="Z39" s="26">
        <f>-Z29*$Z$23</f>
        <v>-0.0</v>
      </c>
      <c r="AA39" s="26">
        <f>-AA29*$Z$23</f>
        <v>-0.0</v>
      </c>
      <c r="AB39" s="26">
        <f>-AB29*$Z$23</f>
        <v>-5.075</v>
      </c>
      <c r="AC39" s="26">
        <f>-AC29*$Z$23</f>
        <v>-0.0</v>
      </c>
      <c r="AD39" s="26">
        <f>-AD29*$Z$23</f>
        <v>-0.0</v>
      </c>
      <c r="AF39" s="26">
        <f>-AF29*$AF$23</f>
        <v>-0.0</v>
      </c>
      <c r="AG39" s="26">
        <f>-AG29*$AF$23</f>
        <v>-0.0</v>
      </c>
      <c r="AH39" s="26">
        <f>-AH29*$AF$23</f>
        <v>-5.71625</v>
      </c>
      <c r="AI39" s="26">
        <f>-AI29*$AF$23</f>
        <v>-0.0</v>
      </c>
      <c r="AJ39" s="26">
        <f>-AJ29*$AF$23</f>
        <v>-0.0</v>
      </c>
      <c r="AL39" s="26">
        <f>-AL29*$AL$23</f>
        <v>-0.0</v>
      </c>
      <c r="AM39" s="26">
        <f>-AM29*$AL$23</f>
        <v>-0.0</v>
      </c>
      <c r="AN39" s="26">
        <f>-AN29*$AL$23</f>
        <v>-5.075</v>
      </c>
      <c r="AO39" s="26">
        <f>-AO29*$AL$23</f>
        <v>-0.0</v>
      </c>
      <c r="AP39" s="26">
        <f>-AP29*$AL$23</f>
        <v>-0.0</v>
      </c>
      <c r="AR39" s="26">
        <f>-AR29*$AR$23</f>
        <v>-0.0</v>
      </c>
      <c r="AS39" s="26">
        <f>-AS29*$AR$23</f>
        <v>-0.0</v>
      </c>
      <c r="AT39" s="26">
        <f>-AT29*$AR$23</f>
        <v>-5.075</v>
      </c>
      <c r="AU39" s="26">
        <f>-AU29*$AR$23</f>
        <v>-0.0</v>
      </c>
      <c r="AV39" s="26">
        <f>-AV29*$AR$23</f>
        <v>-0.0</v>
      </c>
      <c r="AX39" s="26">
        <f>-AX29*$AX$23</f>
        <v>-0.0</v>
      </c>
      <c r="AY39" s="26">
        <f>-AY29*$AX$23</f>
        <v>-0.0</v>
      </c>
      <c r="AZ39" s="26">
        <f>-AZ29*$AX$23</f>
        <v>-5.075</v>
      </c>
      <c r="BA39" s="26">
        <f>-BA29*$AX$23</f>
        <v>-0.0</v>
      </c>
      <c r="BB39" s="26">
        <f>-BB29*$AX$23</f>
        <v>-0.0</v>
      </c>
      <c r="BD39" s="26">
        <f>-BD29*$BD$23</f>
        <v>-0.0</v>
      </c>
      <c r="BE39" s="26">
        <f>-BE29*$BD$23</f>
        <v>-0.0</v>
      </c>
      <c r="BF39" s="26">
        <f>-BF29*$BD$23</f>
        <v>-5.075</v>
      </c>
      <c r="BG39" s="26">
        <f>-BG29*$BD$23</f>
        <v>-0.0</v>
      </c>
      <c r="BH39" s="26">
        <f>-BH29*$BD$23</f>
        <v>-0.0</v>
      </c>
    </row>
    <row r="40">
      <c r="A40" s="3" t="inlineStr">
        <is>
          <t>Product cost - filters</t>
        </is>
      </c>
      <c r="B40" s="26">
        <f>-B30*$B$24</f>
        <v>-0.0</v>
      </c>
      <c r="C40" s="26">
        <f>-C30*$B$24</f>
        <v>-0.0</v>
      </c>
      <c r="D40" s="26">
        <f>-D30*$B$24</f>
        <v>-0.0</v>
      </c>
      <c r="E40" s="26">
        <f>-E30*$B$24</f>
        <v>-5.2425</v>
      </c>
      <c r="F40" s="26">
        <f>-F30*$B$24</f>
        <v>-5.2425</v>
      </c>
      <c r="H40" s="26">
        <f>-H30*$H$24</f>
        <v>-0.0</v>
      </c>
      <c r="I40" s="26">
        <f>-I30*$H$24</f>
        <v>-0.0</v>
      </c>
      <c r="J40" s="26">
        <f>-J30*$H$24</f>
        <v>-0.0</v>
      </c>
      <c r="K40" s="26">
        <f>-K30*$H$24</f>
        <v>-6.5675</v>
      </c>
      <c r="L40" s="26">
        <f>-L30*$H$24</f>
        <v>-6.5675</v>
      </c>
      <c r="N40" s="26">
        <f>-N30*$N$24</f>
        <v>-0.0</v>
      </c>
      <c r="O40" s="26">
        <f>-O30*$N$24</f>
        <v>-0.0</v>
      </c>
      <c r="P40" s="26">
        <f>-P30*$N$24</f>
        <v>-0.0</v>
      </c>
      <c r="Q40" s="26">
        <f>-Q30*$N$24</f>
        <v>-5.2425</v>
      </c>
      <c r="R40" s="26">
        <f>-R30*$N$24</f>
        <v>-5.2425</v>
      </c>
      <c r="T40" s="26">
        <f>-T30*$T$24</f>
        <v>-0.0</v>
      </c>
      <c r="U40" s="26">
        <f>-U30*$T$24</f>
        <v>-0.0</v>
      </c>
      <c r="V40" s="26">
        <f>-V30*$T$24</f>
        <v>-0.0</v>
      </c>
      <c r="W40" s="26">
        <f>-W30*$T$24</f>
        <v>-4.362500000000001</v>
      </c>
      <c r="X40" s="26">
        <f>-X30*$T$24</f>
        <v>-4.362500000000001</v>
      </c>
      <c r="Z40" s="26">
        <f>-Z30*$Z$24</f>
        <v>-0.0</v>
      </c>
      <c r="AA40" s="26">
        <f>-AA30*$Z$24</f>
        <v>-0.0</v>
      </c>
      <c r="AB40" s="26">
        <f>-AB30*$Z$24</f>
        <v>-0.0</v>
      </c>
      <c r="AC40" s="26">
        <f>-AC30*$Z$24</f>
        <v>-5.2425</v>
      </c>
      <c r="AD40" s="26">
        <f>-AD30*$Z$24</f>
        <v>-5.2425</v>
      </c>
      <c r="AF40" s="26">
        <f>-AF30*$AF$24</f>
        <v>-0.0</v>
      </c>
      <c r="AG40" s="26">
        <f>-AG30*$AF$24</f>
        <v>-0.0</v>
      </c>
      <c r="AH40" s="26">
        <f>-AH30*$AF$24</f>
        <v>-0.0</v>
      </c>
      <c r="AI40" s="26">
        <f>-AI30*$AF$24</f>
        <v>-5.848875</v>
      </c>
      <c r="AJ40" s="26">
        <f>-AJ30*$AF$24</f>
        <v>-5.848875</v>
      </c>
      <c r="AL40" s="26">
        <f>-AL30*$AL$24</f>
        <v>-0.0</v>
      </c>
      <c r="AM40" s="26">
        <f>-AM30*$AL$24</f>
        <v>-0.0</v>
      </c>
      <c r="AN40" s="26">
        <f>-AN30*$AL$24</f>
        <v>-0.0</v>
      </c>
      <c r="AO40" s="26">
        <f>-AO30*$AL$24</f>
        <v>-5.2425</v>
      </c>
      <c r="AP40" s="26">
        <f>-AP30*$AL$24</f>
        <v>-5.2425</v>
      </c>
      <c r="AR40" s="26">
        <f>-AR30*$AR$24</f>
        <v>-0.0</v>
      </c>
      <c r="AS40" s="26">
        <f>-AS30*$AR$24</f>
        <v>-0.0</v>
      </c>
      <c r="AT40" s="26">
        <f>-AT30*$AR$24</f>
        <v>-0.0</v>
      </c>
      <c r="AU40" s="26">
        <f>-AU30*$AR$24</f>
        <v>-5.2425</v>
      </c>
      <c r="AV40" s="26">
        <f>-AV30*$AR$24</f>
        <v>-5.2425</v>
      </c>
      <c r="AX40" s="26">
        <f>-AX30*$AX$24</f>
        <v>-0.0</v>
      </c>
      <c r="AY40" s="26">
        <f>-AY30*$AX$24</f>
        <v>-0.0</v>
      </c>
      <c r="AZ40" s="26">
        <f>-AZ30*$AX$24</f>
        <v>-0.0</v>
      </c>
      <c r="BA40" s="26">
        <f>-BA30*$AX$24</f>
        <v>-5.2425</v>
      </c>
      <c r="BB40" s="26">
        <f>-BB30*$AX$24</f>
        <v>-5.2425</v>
      </c>
      <c r="BD40" s="26">
        <f>-BD30*$BD$24</f>
        <v>-0.0</v>
      </c>
      <c r="BE40" s="26">
        <f>-BE30*$BD$24</f>
        <v>-0.0</v>
      </c>
      <c r="BF40" s="26">
        <f>-BF30*$BD$24</f>
        <v>-0.0</v>
      </c>
      <c r="BG40" s="26">
        <f>-BG30*$BD$24</f>
        <v>-5.2425</v>
      </c>
      <c r="BH40" s="26">
        <f>-BH30*$BD$24</f>
        <v>-5.2425</v>
      </c>
    </row>
    <row r="41">
      <c r="A41" s="3" t="inlineStr">
        <is>
          <t>3PL pick/pack + packaging (incl. hidden-fee uplift)</t>
        </is>
      </c>
      <c r="B41" s="26" t="n">
        <v>0</v>
      </c>
      <c r="C41" s="26">
        <f>-(Inputs!$G$88+Inputs!$G$90)*(1+Inputs!$G$92)</f>
        <v>-5.1</v>
      </c>
      <c r="D41" s="26">
        <f>-(Inputs!$G$88+Inputs!$G$89+Inputs!$G$90)*(1+Inputs!$G$92)</f>
        <v>-5.7</v>
      </c>
      <c r="E41" s="26">
        <f>-(Inputs!$G$88+Inputs!$G$91)*(1+Inputs!$G$92)</f>
        <v>-4.2</v>
      </c>
      <c r="F41" s="26">
        <f>-(Inputs!$G$88+Inputs!$G$91)*(1+Inputs!$G$92)</f>
        <v>-4.2</v>
      </c>
      <c r="H41" s="26" t="n">
        <v>0</v>
      </c>
      <c r="I41" s="26">
        <f>-(Inputs!$D$88+Inputs!$D$90)*(1+Inputs!$D$92)</f>
        <v>-6.4125000000000005</v>
      </c>
      <c r="J41" s="26">
        <f>-(Inputs!$D$88+Inputs!$D$89+Inputs!$D$90)*(1+Inputs!$D$92)</f>
        <v>-7.425000000000001</v>
      </c>
      <c r="K41" s="26">
        <f>-(Inputs!$D$88+Inputs!$D$91)*(1+Inputs!$D$92)</f>
        <v>-5.4</v>
      </c>
      <c r="L41" s="26">
        <f>-(Inputs!$D$88+Inputs!$D$91)*(1+Inputs!$D$92)</f>
        <v>-5.4</v>
      </c>
      <c r="N41" s="26" t="n">
        <v>0</v>
      </c>
      <c r="O41" s="26">
        <f>-(Inputs!$E$88+Inputs!$E$90)*(1+Inputs!$E$92)</f>
        <v>-5.1</v>
      </c>
      <c r="P41" s="26">
        <f>-(Inputs!$E$88+Inputs!$E$89+Inputs!$E$90)*(1+Inputs!$E$92)</f>
        <v>-5.7</v>
      </c>
      <c r="Q41" s="26">
        <f>-(Inputs!$E$88+Inputs!$E$91)*(1+Inputs!$E$92)</f>
        <v>-4.2</v>
      </c>
      <c r="R41" s="26">
        <f>-(Inputs!$E$88+Inputs!$E$91)*(1+Inputs!$E$92)</f>
        <v>-4.2</v>
      </c>
      <c r="T41" s="26" t="n">
        <v>0</v>
      </c>
      <c r="U41" s="26">
        <f>-(Inputs!$F$88+Inputs!$F$90)*(1+Inputs!$F$92)</f>
        <v>-3.3000000000000003</v>
      </c>
      <c r="V41" s="26">
        <f>-(Inputs!$F$88+Inputs!$F$89+Inputs!$F$90)*(1+Inputs!$F$92)</f>
        <v>-3.74</v>
      </c>
      <c r="W41" s="26">
        <f>-(Inputs!$F$88+Inputs!$F$91)*(1+Inputs!$F$92)</f>
        <v>-2.5850000000000004</v>
      </c>
      <c r="X41" s="26">
        <f>-(Inputs!$F$88+Inputs!$F$91)*(1+Inputs!$F$92)</f>
        <v>-2.5850000000000004</v>
      </c>
      <c r="Z41" s="26" t="n">
        <v>0</v>
      </c>
      <c r="AA41" s="26">
        <f>-(Inputs!$E$88+Inputs!$E$90)*(1+Inputs!$E$92)</f>
        <v>-5.1</v>
      </c>
      <c r="AB41" s="26">
        <f>-(Inputs!$E$88+Inputs!$E$89+Inputs!$E$90)*(1+Inputs!$E$92)</f>
        <v>-5.7</v>
      </c>
      <c r="AC41" s="26">
        <f>-(Inputs!$E$88+Inputs!$E$91)*(1+Inputs!$E$92)</f>
        <v>-4.2</v>
      </c>
      <c r="AD41" s="26">
        <f>-(Inputs!$E$88+Inputs!$E$91)*(1+Inputs!$E$92)</f>
        <v>-4.2</v>
      </c>
      <c r="AF41" s="26" t="n">
        <v>0</v>
      </c>
      <c r="AG41" s="26">
        <f>-(Inputs!$E$88+Inputs!$E$90)*(1+Inputs!$E$92)</f>
        <v>-5.1</v>
      </c>
      <c r="AH41" s="26">
        <f>-(Inputs!$E$88+Inputs!$E$89+Inputs!$E$90)*(1+Inputs!$E$92)</f>
        <v>-5.7</v>
      </c>
      <c r="AI41" s="26">
        <f>-(Inputs!$E$88+Inputs!$E$91)*(1+Inputs!$E$92)</f>
        <v>-4.2</v>
      </c>
      <c r="AJ41" s="26">
        <f>-(Inputs!$E$88+Inputs!$E$91)*(1+Inputs!$E$92)</f>
        <v>-4.2</v>
      </c>
      <c r="AL41" s="26" t="n">
        <v>0</v>
      </c>
      <c r="AM41" s="26">
        <f>-(Inputs!$E$88+Inputs!$E$90)*(1+Inputs!$E$92)</f>
        <v>-5.1</v>
      </c>
      <c r="AN41" s="26">
        <f>-(Inputs!$E$88+Inputs!$E$89+Inputs!$E$90)*(1+Inputs!$E$92)</f>
        <v>-5.7</v>
      </c>
      <c r="AO41" s="26">
        <f>-(Inputs!$E$88+Inputs!$E$91)*(1+Inputs!$E$92)</f>
        <v>-4.2</v>
      </c>
      <c r="AP41" s="26">
        <f>-(Inputs!$E$88+Inputs!$E$91)*(1+Inputs!$E$92)</f>
        <v>-4.2</v>
      </c>
      <c r="AR41" s="26" t="n">
        <v>0</v>
      </c>
      <c r="AS41" s="26">
        <f>-(Inputs!$E$88+Inputs!$E$90)*(1+Inputs!$E$92)</f>
        <v>-5.1</v>
      </c>
      <c r="AT41" s="26">
        <f>-(Inputs!$E$88+Inputs!$E$89+Inputs!$E$90)*(1+Inputs!$E$92)</f>
        <v>-5.7</v>
      </c>
      <c r="AU41" s="26">
        <f>-(Inputs!$E$88+Inputs!$E$91)*(1+Inputs!$E$92)</f>
        <v>-4.2</v>
      </c>
      <c r="AV41" s="26">
        <f>-(Inputs!$E$88+Inputs!$E$91)*(1+Inputs!$E$92)</f>
        <v>-4.2</v>
      </c>
      <c r="AX41" s="26" t="n">
        <v>0</v>
      </c>
      <c r="AY41" s="26">
        <f>-(Inputs!$E$88+Inputs!$E$90)*(1+Inputs!$E$92)</f>
        <v>-5.1</v>
      </c>
      <c r="AZ41" s="26">
        <f>-(Inputs!$E$88+Inputs!$E$89+Inputs!$E$90)*(1+Inputs!$E$92)</f>
        <v>-5.7</v>
      </c>
      <c r="BA41" s="26">
        <f>-(Inputs!$E$88+Inputs!$E$91)*(1+Inputs!$E$92)</f>
        <v>-4.2</v>
      </c>
      <c r="BB41" s="26">
        <f>-(Inputs!$E$88+Inputs!$E$91)*(1+Inputs!$E$92)</f>
        <v>-4.2</v>
      </c>
      <c r="BD41" s="26" t="n">
        <v>0</v>
      </c>
      <c r="BE41" s="26">
        <f>-(Inputs!$E$88+Inputs!$E$90)*(1+Inputs!$E$92)</f>
        <v>-5.1</v>
      </c>
      <c r="BF41" s="26">
        <f>-(Inputs!$E$88+Inputs!$E$89+Inputs!$E$90)*(1+Inputs!$E$92)</f>
        <v>-5.7</v>
      </c>
      <c r="BG41" s="26">
        <f>-(Inputs!$E$88+Inputs!$E$91)*(1+Inputs!$E$92)</f>
        <v>-4.2</v>
      </c>
      <c r="BH41" s="26">
        <f>-(Inputs!$E$88+Inputs!$E$91)*(1+Inputs!$E$92)</f>
        <v>-4.2</v>
      </c>
    </row>
    <row r="42">
      <c r="A42" s="3" t="inlineStr">
        <is>
          <t>Postage (USPS Ground Advantage)</t>
        </is>
      </c>
      <c r="B42" s="26" t="n">
        <v>0</v>
      </c>
      <c r="C42" s="26">
        <f>-Inputs!$G$83*$B$9</f>
        <v>-10.5</v>
      </c>
      <c r="D42" s="26">
        <f>-Inputs!$G$84*$B$9</f>
        <v>-12.12</v>
      </c>
      <c r="E42" s="26">
        <f>-Inputs!$G$85*$B$9</f>
        <v>-8.24</v>
      </c>
      <c r="F42" s="26">
        <f>-Inputs!$G$85*$B$9</f>
        <v>-8.24</v>
      </c>
      <c r="H42" s="26" t="n">
        <v>0</v>
      </c>
      <c r="I42" s="26">
        <f>-Inputs!$D$83*$H$9</f>
        <v>-11.96</v>
      </c>
      <c r="J42" s="26">
        <f>-Inputs!$D$84*$H$9</f>
        <v>-14.21</v>
      </c>
      <c r="K42" s="26">
        <f>-Inputs!$D$85*$H$9</f>
        <v>-8.594999999999999</v>
      </c>
      <c r="L42" s="26">
        <f>-Inputs!$D$85*$H$9</f>
        <v>-8.594999999999999</v>
      </c>
      <c r="N42" s="26" t="n">
        <v>0</v>
      </c>
      <c r="O42" s="26">
        <f>-Inputs!$E$83*$N$9</f>
        <v>-10.5</v>
      </c>
      <c r="P42" s="26">
        <f>-Inputs!$E$84*$N$9</f>
        <v>-12.12</v>
      </c>
      <c r="Q42" s="26">
        <f>-Inputs!$E$85*$N$9</f>
        <v>-8.24</v>
      </c>
      <c r="R42" s="26">
        <f>-Inputs!$E$85*$N$9</f>
        <v>-8.24</v>
      </c>
      <c r="T42" s="26" t="n">
        <v>0</v>
      </c>
      <c r="U42" s="26">
        <f>-Inputs!$F$83*$T$9</f>
        <v>-9.722222222222221</v>
      </c>
      <c r="V42" s="26">
        <f>-Inputs!$F$84*$T$9</f>
        <v>-11.222222222222221</v>
      </c>
      <c r="W42" s="26">
        <f>-Inputs!$F$85*$T$9</f>
        <v>-6.485185185185185</v>
      </c>
      <c r="X42" s="26">
        <f>-Inputs!$F$85*$T$9</f>
        <v>-6.485185185185185</v>
      </c>
      <c r="Z42" s="26" t="n">
        <v>0</v>
      </c>
      <c r="AA42" s="26">
        <f>-Inputs!$E$83*$Z$9</f>
        <v>-10.5</v>
      </c>
      <c r="AB42" s="26">
        <f>-Inputs!$E$84*$Z$9</f>
        <v>-12.12</v>
      </c>
      <c r="AC42" s="26">
        <f>-Inputs!$E$85*$Z$9</f>
        <v>-8.24</v>
      </c>
      <c r="AD42" s="26">
        <f>-Inputs!$E$85*$Z$9</f>
        <v>-8.24</v>
      </c>
      <c r="AF42" s="26" t="n">
        <v>0</v>
      </c>
      <c r="AG42" s="26">
        <f>-Inputs!$E$83*$AF$9</f>
        <v>-10.5</v>
      </c>
      <c r="AH42" s="26">
        <f>-Inputs!$E$84*$AF$9</f>
        <v>-12.12</v>
      </c>
      <c r="AI42" s="26">
        <f>-Inputs!$E$85*$AF$9</f>
        <v>-8.24</v>
      </c>
      <c r="AJ42" s="26">
        <f>-Inputs!$E$85*$AF$9</f>
        <v>-8.24</v>
      </c>
      <c r="AL42" s="26" t="n">
        <v>0</v>
      </c>
      <c r="AM42" s="26">
        <f>-Inputs!$E$83*$AL$9</f>
        <v>-12.6</v>
      </c>
      <c r="AN42" s="26">
        <f>-Inputs!$E$84*$AL$9</f>
        <v>-14.543999999999999</v>
      </c>
      <c r="AO42" s="26">
        <f>-Inputs!$E$85*$AL$9</f>
        <v>-9.888</v>
      </c>
      <c r="AP42" s="26">
        <f>-Inputs!$E$85*$AL$9</f>
        <v>-9.888</v>
      </c>
      <c r="AR42" s="26" t="n">
        <v>0</v>
      </c>
      <c r="AS42" s="26">
        <f>-Inputs!$E$83*$AR$9</f>
        <v>-10.5</v>
      </c>
      <c r="AT42" s="26">
        <f>-Inputs!$E$84*$AR$9</f>
        <v>-12.12</v>
      </c>
      <c r="AU42" s="26">
        <f>-Inputs!$E$85*$AR$9</f>
        <v>-8.24</v>
      </c>
      <c r="AV42" s="26">
        <f>-Inputs!$E$85*$AR$9</f>
        <v>-8.24</v>
      </c>
      <c r="AX42" s="26" t="n">
        <v>0</v>
      </c>
      <c r="AY42" s="26">
        <f>-Inputs!$E$83*$AX$9</f>
        <v>-10.5</v>
      </c>
      <c r="AZ42" s="26">
        <f>-Inputs!$E$84*$AX$9</f>
        <v>-12.12</v>
      </c>
      <c r="BA42" s="26">
        <f>-Inputs!$E$85*$AX$9</f>
        <v>-8.24</v>
      </c>
      <c r="BB42" s="26">
        <f>-Inputs!$E$85*$AX$9</f>
        <v>-8.24</v>
      </c>
      <c r="BD42" s="26" t="n">
        <v>0</v>
      </c>
      <c r="BE42" s="26">
        <f>-Inputs!$E$83*$BD$9</f>
        <v>-10.5</v>
      </c>
      <c r="BF42" s="26">
        <f>-Inputs!$E$84*$BD$9</f>
        <v>-12.12</v>
      </c>
      <c r="BG42" s="26">
        <f>-Inputs!$E$85*$BD$9</f>
        <v>-8.24</v>
      </c>
      <c r="BH42" s="26">
        <f>-Inputs!$E$85*$BD$9</f>
        <v>-8.24</v>
      </c>
    </row>
    <row r="43">
      <c r="A43" s="3" t="inlineStr">
        <is>
          <t>Payment processing</t>
        </is>
      </c>
      <c r="B43" s="26">
        <f>-(Inputs!$G$100*B35+Inputs!$G$101)</f>
        <v>-1.74971</v>
      </c>
      <c r="C43" s="26">
        <f>-(Inputs!$G$100*C35+Inputs!$G$101)</f>
        <v>-1.74971</v>
      </c>
      <c r="D43" s="26">
        <f>-(Inputs!$G$100*D35+Inputs!$G$101)</f>
        <v>-2.32942</v>
      </c>
      <c r="E43" s="26">
        <f>-(Inputs!$G$100*E35+Inputs!$G$101)</f>
        <v>-0.743439</v>
      </c>
      <c r="F43" s="26">
        <f>-(Inputs!$G$100*F35+Inputs!$G$101)</f>
        <v>-0.79271</v>
      </c>
      <c r="H43" s="26">
        <f>-(Inputs!$D$100*H35+Inputs!$D$101)</f>
        <v>-1.60471</v>
      </c>
      <c r="I43" s="26">
        <f>-(Inputs!$D$100*I35+Inputs!$D$101)</f>
        <v>-1.60471</v>
      </c>
      <c r="J43" s="26">
        <f>-(Inputs!$D$100*J35+Inputs!$D$101)</f>
        <v>-2.09742</v>
      </c>
      <c r="K43" s="26">
        <f>-(Inputs!$D$100*K35+Inputs!$D$101)</f>
        <v>-0.6695035</v>
      </c>
      <c r="L43" s="26">
        <f>-(Inputs!$D$100*L35+Inputs!$D$101)</f>
        <v>-0.73471</v>
      </c>
      <c r="N43" s="26">
        <f>-(Inputs!$E$100*N35+Inputs!$E$101)</f>
        <v>-1.74971</v>
      </c>
      <c r="O43" s="26">
        <f>-(Inputs!$E$100*O35+Inputs!$E$101)</f>
        <v>-1.74971</v>
      </c>
      <c r="P43" s="26">
        <f>-(Inputs!$E$100*P35+Inputs!$E$101)</f>
        <v>-2.32942</v>
      </c>
      <c r="Q43" s="26">
        <f>-(Inputs!$E$100*Q35+Inputs!$E$101)</f>
        <v>-0.743439</v>
      </c>
      <c r="R43" s="26">
        <f>-(Inputs!$E$100*R35+Inputs!$E$101)</f>
        <v>-0.79271</v>
      </c>
      <c r="T43" s="26">
        <f>-(Inputs!$F$100*T35+Inputs!$F$101)</f>
        <v>-2.03971</v>
      </c>
      <c r="U43" s="26">
        <f>-(Inputs!$F$100*U35+Inputs!$F$101)</f>
        <v>-2.03971</v>
      </c>
      <c r="V43" s="26">
        <f>-(Inputs!$F$100*V35+Inputs!$F$101)</f>
        <v>-2.70642</v>
      </c>
      <c r="W43" s="26">
        <f>-(Inputs!$F$100*W35+Inputs!$F$101)</f>
        <v>-0.756489</v>
      </c>
      <c r="X43" s="26">
        <f>-(Inputs!$F$100*X35+Inputs!$F$101)</f>
        <v>-0.92292</v>
      </c>
      <c r="Z43" s="26">
        <f>-(Inputs!$E$100*Z35+Inputs!$E$101)</f>
        <v>-1.74971</v>
      </c>
      <c r="AA43" s="26">
        <f>-(Inputs!$E$100*AA35+Inputs!$E$101)</f>
        <v>-1.74971</v>
      </c>
      <c r="AB43" s="26">
        <f>-(Inputs!$E$100*AB35+Inputs!$E$101)</f>
        <v>-2.32942</v>
      </c>
      <c r="AC43" s="26">
        <f>-(Inputs!$E$100*AC35+Inputs!$E$101)</f>
        <v>-0.743439</v>
      </c>
      <c r="AD43" s="26">
        <f>-(Inputs!$E$100*AD35+Inputs!$E$101)</f>
        <v>-0.79271</v>
      </c>
      <c r="AF43" s="26">
        <f>-(Inputs!$E$100*AF35+Inputs!$E$101)</f>
        <v>-1.74971</v>
      </c>
      <c r="AG43" s="26">
        <f>-(Inputs!$E$100*AG35+Inputs!$E$101)</f>
        <v>-1.74971</v>
      </c>
      <c r="AH43" s="26">
        <f>-(Inputs!$E$100*AH35+Inputs!$E$101)</f>
        <v>-2.32942</v>
      </c>
      <c r="AI43" s="26">
        <f>-(Inputs!$E$100*AI35+Inputs!$E$101)</f>
        <v>-0.743439</v>
      </c>
      <c r="AJ43" s="26">
        <f>-(Inputs!$E$100*AJ35+Inputs!$E$101)</f>
        <v>-0.79271</v>
      </c>
      <c r="AL43" s="26">
        <f>-(Inputs!$E$100*AL35+Inputs!$E$101)</f>
        <v>-1.74971</v>
      </c>
      <c r="AM43" s="26">
        <f>-(Inputs!$E$100*AM35+Inputs!$E$101)</f>
        <v>-1.74971</v>
      </c>
      <c r="AN43" s="26">
        <f>-(Inputs!$E$100*AN35+Inputs!$E$101)</f>
        <v>-2.32942</v>
      </c>
      <c r="AO43" s="26">
        <f>-(Inputs!$E$100*AO35+Inputs!$E$101)</f>
        <v>-0.743439</v>
      </c>
      <c r="AP43" s="26">
        <f>-(Inputs!$E$100*AP35+Inputs!$E$101)</f>
        <v>-0.79271</v>
      </c>
      <c r="AR43" s="26">
        <f>-(Inputs!$E$100*AR35+Inputs!$E$101)</f>
        <v>-1.74971</v>
      </c>
      <c r="AS43" s="26">
        <f>-(Inputs!$E$100*AS35+Inputs!$E$101)</f>
        <v>-1.74971</v>
      </c>
      <c r="AT43" s="26">
        <f>-(Inputs!$E$100*AT35+Inputs!$E$101)</f>
        <v>-2.32942</v>
      </c>
      <c r="AU43" s="26">
        <f>-(Inputs!$E$100*AU35+Inputs!$E$101)</f>
        <v>-0.743439</v>
      </c>
      <c r="AV43" s="26">
        <f>-(Inputs!$E$100*AV35+Inputs!$E$101)</f>
        <v>-0.79271</v>
      </c>
      <c r="AX43" s="26">
        <f>-(Inputs!$E$100*AX35+Inputs!$E$101)</f>
        <v>-1.74971</v>
      </c>
      <c r="AY43" s="26">
        <f>-(Inputs!$E$100*AY35+Inputs!$E$101)</f>
        <v>-1.74971</v>
      </c>
      <c r="AZ43" s="26">
        <f>-(Inputs!$E$100*AZ35+Inputs!$E$101)</f>
        <v>-2.32942</v>
      </c>
      <c r="BA43" s="26">
        <f>-(Inputs!$E$100*BA35+Inputs!$E$101)</f>
        <v>-0.743439</v>
      </c>
      <c r="BB43" s="26">
        <f>-(Inputs!$E$100*BB35+Inputs!$E$101)</f>
        <v>-0.79271</v>
      </c>
      <c r="BD43" s="26">
        <f>-(Inputs!$E$100*BD35+Inputs!$E$101)</f>
        <v>-1.74971</v>
      </c>
      <c r="BE43" s="26">
        <f>-(Inputs!$E$100*BE35+Inputs!$E$101)</f>
        <v>-1.74971</v>
      </c>
      <c r="BF43" s="26">
        <f>-(Inputs!$E$100*BF35+Inputs!$E$101)</f>
        <v>-2.32942</v>
      </c>
      <c r="BG43" s="26">
        <f>-(Inputs!$E$100*BG35+Inputs!$E$101)</f>
        <v>-0.743439</v>
      </c>
      <c r="BH43" s="26">
        <f>-(Inputs!$E$100*BH35+Inputs!$E$101)</f>
        <v>-0.79271</v>
      </c>
    </row>
    <row r="44">
      <c r="A44" s="3" t="inlineStr">
        <is>
          <t>Warranty replacements (expected)</t>
        </is>
      </c>
      <c r="B44" s="26">
        <f>-Inputs!$G$103*$B$12*$B$15</f>
        <v>-1.1497950000000001</v>
      </c>
      <c r="C44" s="26">
        <f>-Inputs!$G$103*$B$12*($B$22+(Inputs!$G$88+Inputs!$G$90)*(1+Inputs!$G$92)+Inputs!$G$83*$B$9)</f>
        <v>-1.2469686749999997</v>
      </c>
      <c r="D44" s="26">
        <f>-Inputs!$G$103*$B$12*($B$22+(Inputs!$G$88+Inputs!$G$90)*(1+Inputs!$G$92)+Inputs!$G$83*$B$9)</f>
        <v>-1.2469686749999997</v>
      </c>
      <c r="E44" s="26" t="n">
        <v>0</v>
      </c>
      <c r="F44" s="26" t="n">
        <v>0</v>
      </c>
      <c r="H44" s="26">
        <f>-Inputs!$D$103*$H$12*$H$15</f>
        <v>-2.4282000000000004</v>
      </c>
      <c r="I44" s="26">
        <f>-Inputs!$D$103*$H$12*($H$22+(Inputs!$D$88+Inputs!$D$90)*(1+Inputs!$D$92)+Inputs!$D$83*$H$9)</f>
        <v>-2.9786598750000004</v>
      </c>
      <c r="J44" s="26">
        <f>-Inputs!$D$103*$H$12*($H$22+(Inputs!$D$88+Inputs!$D$90)*(1+Inputs!$D$92)+Inputs!$D$83*$H$9)</f>
        <v>-2.9786598750000004</v>
      </c>
      <c r="K44" s="26" t="n">
        <v>0</v>
      </c>
      <c r="L44" s="26" t="n">
        <v>0</v>
      </c>
      <c r="N44" s="26">
        <f>-Inputs!$E$103*$N$12*$N$15</f>
        <v>-1.1497950000000001</v>
      </c>
      <c r="O44" s="26">
        <f>-Inputs!$E$103*$N$12*($N$22+(Inputs!$E$88+Inputs!$E$90)*(1+Inputs!$E$92)+Inputs!$E$83*$N$9)</f>
        <v>-1.2469686749999997</v>
      </c>
      <c r="P44" s="26">
        <f>-Inputs!$E$103*$N$12*($N$22+(Inputs!$E$88+Inputs!$E$90)*(1+Inputs!$E$92)+Inputs!$E$83*$N$9)</f>
        <v>-1.2469686749999997</v>
      </c>
      <c r="Q44" s="26" t="n">
        <v>0</v>
      </c>
      <c r="R44" s="26" t="n">
        <v>0</v>
      </c>
      <c r="T44" s="26">
        <f>-Inputs!$F$103*$T$12*$T$15</f>
        <v>-0.32685</v>
      </c>
      <c r="U44" s="26">
        <f>-Inputs!$F$103*$T$12*($T$22+(Inputs!$F$88+Inputs!$F$90)*(1+Inputs!$F$92)+Inputs!$F$83*$T$9)</f>
        <v>-0.4294650333333333</v>
      </c>
      <c r="V44" s="26">
        <f>-Inputs!$F$103*$T$12*($T$22+(Inputs!$F$88+Inputs!$F$90)*(1+Inputs!$F$92)+Inputs!$F$83*$T$9)</f>
        <v>-0.4294650333333333</v>
      </c>
      <c r="W44" s="26" t="n">
        <v>0</v>
      </c>
      <c r="X44" s="26" t="n">
        <v>0</v>
      </c>
      <c r="Z44" s="26">
        <f>-Inputs!$E$103*$Z$12*$Z$15</f>
        <v>-1.1497950000000001</v>
      </c>
      <c r="AA44" s="26">
        <f>-Inputs!$E$103*$Z$12*($Z$22+(Inputs!$E$88+Inputs!$E$90)*(1+Inputs!$E$92)+Inputs!$E$83*$Z$9)</f>
        <v>-1.2469686749999997</v>
      </c>
      <c r="AB44" s="26">
        <f>-Inputs!$E$103*$Z$12*($Z$22+(Inputs!$E$88+Inputs!$E$90)*(1+Inputs!$E$92)+Inputs!$E$83*$Z$9)</f>
        <v>-1.2469686749999997</v>
      </c>
      <c r="AC44" s="26" t="n">
        <v>0</v>
      </c>
      <c r="AD44" s="26" t="n">
        <v>0</v>
      </c>
      <c r="AF44" s="26">
        <f>-Inputs!$E$103*$AF$12*$AF$15</f>
        <v>-1.3222642500000001</v>
      </c>
      <c r="AG44" s="26">
        <f>-Inputs!$E$103*$AF$12*($AF$22+(Inputs!$E$88+Inputs!$E$90)*(1+Inputs!$E$92)+Inputs!$E$83*$AF$9)</f>
        <v>-1.31986175625</v>
      </c>
      <c r="AH44" s="26">
        <f>-Inputs!$E$103*$AF$12*($AF$22+(Inputs!$E$88+Inputs!$E$90)*(1+Inputs!$E$92)+Inputs!$E$83*$AF$9)</f>
        <v>-1.31986175625</v>
      </c>
      <c r="AI44" s="26" t="n">
        <v>0</v>
      </c>
      <c r="AJ44" s="26" t="n">
        <v>0</v>
      </c>
      <c r="AL44" s="26">
        <f>-Inputs!$E$103*$AL$12*$AL$15</f>
        <v>-1.1497950000000001</v>
      </c>
      <c r="AM44" s="26">
        <f>-Inputs!$E$103*$AL$12*($AL$22+(Inputs!$E$88+Inputs!$E$90)*(1+Inputs!$E$92)+Inputs!$E$83*$AL$9)</f>
        <v>-1.309968675</v>
      </c>
      <c r="AN44" s="26">
        <f>-Inputs!$E$103*$AL$12*($AL$22+(Inputs!$E$88+Inputs!$E$90)*(1+Inputs!$E$92)+Inputs!$E$83*$AL$9)</f>
        <v>-1.309968675</v>
      </c>
      <c r="AO44" s="26" t="n">
        <v>0</v>
      </c>
      <c r="AP44" s="26" t="n">
        <v>0</v>
      </c>
      <c r="AR44" s="26">
        <f>-Inputs!$E$103*$AR$12*$AR$15</f>
        <v>-1.1497950000000001</v>
      </c>
      <c r="AS44" s="26">
        <f>-Inputs!$E$103*$AR$12*($AR$22+(Inputs!$E$88+Inputs!$E$90)*(1+Inputs!$E$92)+Inputs!$E$83*$AR$9)</f>
        <v>-1.2469686749999997</v>
      </c>
      <c r="AT44" s="26">
        <f>-Inputs!$E$103*$AR$12*($AR$22+(Inputs!$E$88+Inputs!$E$90)*(1+Inputs!$E$92)+Inputs!$E$83*$AR$9)</f>
        <v>-1.2469686749999997</v>
      </c>
      <c r="AU44" s="26" t="n">
        <v>0</v>
      </c>
      <c r="AV44" s="26" t="n">
        <v>0</v>
      </c>
      <c r="AX44" s="26">
        <f>-Inputs!$E$103*$AX$12*$AX$15</f>
        <v>-1.1497950000000001</v>
      </c>
      <c r="AY44" s="26">
        <f>-Inputs!$E$103*$AX$12*($AX$22+(Inputs!$E$88+Inputs!$E$90)*(1+Inputs!$E$92)+Inputs!$E$83*$AX$9)</f>
        <v>-1.2469686749999997</v>
      </c>
      <c r="AZ44" s="26">
        <f>-Inputs!$E$103*$AX$12*($AX$22+(Inputs!$E$88+Inputs!$E$90)*(1+Inputs!$E$92)+Inputs!$E$83*$AX$9)</f>
        <v>-1.2469686749999997</v>
      </c>
      <c r="BA44" s="26" t="n">
        <v>0</v>
      </c>
      <c r="BB44" s="26" t="n">
        <v>0</v>
      </c>
      <c r="BD44" s="26">
        <f>-Inputs!$E$103*$BD$12*$BD$15</f>
        <v>-2.2995900000000002</v>
      </c>
      <c r="BE44" s="26">
        <f>-Inputs!$E$103*$BD$12*($BD$22+(Inputs!$E$88+Inputs!$E$90)*(1+Inputs!$E$92)+Inputs!$E$83*$BD$9)</f>
        <v>-2.4939373499999995</v>
      </c>
      <c r="BF44" s="26">
        <f>-Inputs!$E$103*$BD$12*($BD$22+(Inputs!$E$88+Inputs!$E$90)*(1+Inputs!$E$92)+Inputs!$E$83*$BD$9)</f>
        <v>-2.4939373499999995</v>
      </c>
      <c r="BG44" s="26" t="n">
        <v>0</v>
      </c>
      <c r="BH44" s="26" t="n">
        <v>0</v>
      </c>
    </row>
    <row r="45">
      <c r="A45" s="3" t="inlineStr">
        <is>
          <t>Lost / duty-refused parcels (test stage)</t>
        </is>
      </c>
      <c r="B45" s="26">
        <f>-Inputs!$G$28*$B$15</f>
        <v>-1.9163250000000003</v>
      </c>
      <c r="C45" s="26" t="n">
        <v>0</v>
      </c>
      <c r="D45" s="26" t="n">
        <v>0</v>
      </c>
      <c r="E45" s="26" t="n">
        <v>0</v>
      </c>
      <c r="F45" s="26" t="n">
        <v>0</v>
      </c>
      <c r="H45" s="26">
        <f>-Inputs!$D$28*$H$15</f>
        <v>-3.3994800000000005</v>
      </c>
      <c r="I45" s="26" t="n">
        <v>0</v>
      </c>
      <c r="J45" s="26" t="n">
        <v>0</v>
      </c>
      <c r="K45" s="26" t="n">
        <v>0</v>
      </c>
      <c r="L45" s="26" t="n">
        <v>0</v>
      </c>
      <c r="N45" s="26">
        <f>-Inputs!$E$28*$N$15</f>
        <v>-1.9163250000000003</v>
      </c>
      <c r="O45" s="26" t="n">
        <v>0</v>
      </c>
      <c r="P45" s="26" t="n">
        <v>0</v>
      </c>
      <c r="Q45" s="26" t="n">
        <v>0</v>
      </c>
      <c r="R45" s="26" t="n">
        <v>0</v>
      </c>
      <c r="T45" s="26">
        <f>-Inputs!$F$28*$T$15</f>
        <v>-0.43579999999999997</v>
      </c>
      <c r="U45" s="26" t="n">
        <v>0</v>
      </c>
      <c r="V45" s="26" t="n">
        <v>0</v>
      </c>
      <c r="W45" s="26" t="n">
        <v>0</v>
      </c>
      <c r="X45" s="26" t="n">
        <v>0</v>
      </c>
      <c r="Z45" s="26">
        <f>-Inputs!$E$28*$Z$15</f>
        <v>-1.9163250000000003</v>
      </c>
      <c r="AA45" s="26" t="n">
        <v>0</v>
      </c>
      <c r="AB45" s="26" t="n">
        <v>0</v>
      </c>
      <c r="AC45" s="26" t="n">
        <v>0</v>
      </c>
      <c r="AD45" s="26" t="n">
        <v>0</v>
      </c>
      <c r="AF45" s="26">
        <f>-Inputs!$E$28*$AF$15</f>
        <v>-2.2037737500000003</v>
      </c>
      <c r="AG45" s="26" t="n">
        <v>0</v>
      </c>
      <c r="AH45" s="26" t="n">
        <v>0</v>
      </c>
      <c r="AI45" s="26" t="n">
        <v>0</v>
      </c>
      <c r="AJ45" s="26" t="n">
        <v>0</v>
      </c>
      <c r="AL45" s="26">
        <f>-Inputs!$E$28*$AL$15</f>
        <v>-1.9163250000000003</v>
      </c>
      <c r="AM45" s="26" t="n">
        <v>0</v>
      </c>
      <c r="AN45" s="26" t="n">
        <v>0</v>
      </c>
      <c r="AO45" s="26" t="n">
        <v>0</v>
      </c>
      <c r="AP45" s="26" t="n">
        <v>0</v>
      </c>
      <c r="AR45" s="26">
        <f>-Inputs!$E$28*$AR$15</f>
        <v>-1.9163250000000003</v>
      </c>
      <c r="AS45" s="26" t="n">
        <v>0</v>
      </c>
      <c r="AT45" s="26" t="n">
        <v>0</v>
      </c>
      <c r="AU45" s="26" t="n">
        <v>0</v>
      </c>
      <c r="AV45" s="26" t="n">
        <v>0</v>
      </c>
      <c r="AX45" s="26">
        <f>-Inputs!$E$28*$AX$15</f>
        <v>-1.9163250000000003</v>
      </c>
      <c r="AY45" s="26" t="n">
        <v>0</v>
      </c>
      <c r="AZ45" s="26" t="n">
        <v>0</v>
      </c>
      <c r="BA45" s="26" t="n">
        <v>0</v>
      </c>
      <c r="BB45" s="26" t="n">
        <v>0</v>
      </c>
      <c r="BD45" s="26">
        <f>-Inputs!$E$28*$BD$15</f>
        <v>-1.9163250000000003</v>
      </c>
      <c r="BE45" s="26" t="n">
        <v>0</v>
      </c>
      <c r="BF45" s="26" t="n">
        <v>0</v>
      </c>
      <c r="BG45" s="26" t="n">
        <v>0</v>
      </c>
      <c r="BH45" s="26" t="n">
        <v>0</v>
      </c>
    </row>
    <row r="46">
      <c r="A46" s="3" t="inlineStr">
        <is>
          <t>Returns processing (3PL)</t>
        </is>
      </c>
      <c r="B46" s="26" t="n">
        <v>0</v>
      </c>
      <c r="C46" s="26">
        <f>-Inputs!$G$102*$B$12*Inputs!$G$93</f>
        <v>-0.20299999999999999</v>
      </c>
      <c r="D46" s="26">
        <f>-Inputs!$G$102*$B$12*Inputs!$G$93</f>
        <v>-0.20299999999999999</v>
      </c>
      <c r="E46" s="26">
        <f>-Inputs!$G$104*$B$12*Inputs!$G$93</f>
        <v>-0.0406</v>
      </c>
      <c r="F46" s="26">
        <f>-Inputs!$G$104*$B$12*Inputs!$G$93</f>
        <v>-0.0406</v>
      </c>
      <c r="H46" s="26" t="n">
        <v>0</v>
      </c>
      <c r="I46" s="26">
        <f>-Inputs!$D$102*$H$12*Inputs!$D$93</f>
        <v>-0.56</v>
      </c>
      <c r="J46" s="26">
        <f>-Inputs!$D$102*$H$12*Inputs!$D$93</f>
        <v>-0.56</v>
      </c>
      <c r="K46" s="26">
        <f>-Inputs!$D$104*$H$12*Inputs!$D$93</f>
        <v>-0.14</v>
      </c>
      <c r="L46" s="26">
        <f>-Inputs!$D$104*$H$12*Inputs!$D$93</f>
        <v>-0.14</v>
      </c>
      <c r="N46" s="26" t="n">
        <v>0</v>
      </c>
      <c r="O46" s="26">
        <f>-Inputs!$E$102*$N$12*Inputs!$E$93</f>
        <v>-0.20299999999999999</v>
      </c>
      <c r="P46" s="26">
        <f>-Inputs!$E$102*$N$12*Inputs!$E$93</f>
        <v>-0.20299999999999999</v>
      </c>
      <c r="Q46" s="26">
        <f>-Inputs!$E$104*$N$12*Inputs!$E$93</f>
        <v>-0.0406</v>
      </c>
      <c r="R46" s="26">
        <f>-Inputs!$E$104*$N$12*Inputs!$E$93</f>
        <v>-0.0406</v>
      </c>
      <c r="T46" s="26" t="n">
        <v>0</v>
      </c>
      <c r="U46" s="26">
        <f>-Inputs!$F$102*$T$12*Inputs!$F$93</f>
        <v>-0.03</v>
      </c>
      <c r="V46" s="26">
        <f>-Inputs!$F$102*$T$12*Inputs!$F$93</f>
        <v>-0.03</v>
      </c>
      <c r="W46" s="26">
        <f>-Inputs!$F$104*$T$12*Inputs!$F$93</f>
        <v>-0.005</v>
      </c>
      <c r="X46" s="26">
        <f>-Inputs!$F$104*$T$12*Inputs!$F$93</f>
        <v>-0.005</v>
      </c>
      <c r="Z46" s="26" t="n">
        <v>0</v>
      </c>
      <c r="AA46" s="26">
        <f>-Inputs!$E$102*$Z$12*Inputs!$E$93</f>
        <v>-0.20299999999999999</v>
      </c>
      <c r="AB46" s="26">
        <f>-Inputs!$E$102*$Z$12*Inputs!$E$93</f>
        <v>-0.20299999999999999</v>
      </c>
      <c r="AC46" s="26">
        <f>-Inputs!$E$104*$Z$12*Inputs!$E$93</f>
        <v>-0.0406</v>
      </c>
      <c r="AD46" s="26">
        <f>-Inputs!$E$104*$Z$12*Inputs!$E$93</f>
        <v>-0.0406</v>
      </c>
      <c r="AF46" s="26" t="n">
        <v>0</v>
      </c>
      <c r="AG46" s="26">
        <f>-Inputs!$E$102*$AF$12*Inputs!$E$93</f>
        <v>-0.20299999999999999</v>
      </c>
      <c r="AH46" s="26">
        <f>-Inputs!$E$102*$AF$12*Inputs!$E$93</f>
        <v>-0.20299999999999999</v>
      </c>
      <c r="AI46" s="26">
        <f>-Inputs!$E$104*$AF$12*Inputs!$E$93</f>
        <v>-0.0406</v>
      </c>
      <c r="AJ46" s="26">
        <f>-Inputs!$E$104*$AF$12*Inputs!$E$93</f>
        <v>-0.0406</v>
      </c>
      <c r="AL46" s="26" t="n">
        <v>0</v>
      </c>
      <c r="AM46" s="26">
        <f>-Inputs!$E$102*$AL$12*Inputs!$E$93</f>
        <v>-0.20299999999999999</v>
      </c>
      <c r="AN46" s="26">
        <f>-Inputs!$E$102*$AL$12*Inputs!$E$93</f>
        <v>-0.20299999999999999</v>
      </c>
      <c r="AO46" s="26">
        <f>-Inputs!$E$104*$AL$12*Inputs!$E$93</f>
        <v>-0.0406</v>
      </c>
      <c r="AP46" s="26">
        <f>-Inputs!$E$104*$AL$12*Inputs!$E$93</f>
        <v>-0.0406</v>
      </c>
      <c r="AR46" s="26" t="n">
        <v>0</v>
      </c>
      <c r="AS46" s="26">
        <f>-Inputs!$E$102*$AR$12*Inputs!$E$93</f>
        <v>-0.20299999999999999</v>
      </c>
      <c r="AT46" s="26">
        <f>-Inputs!$E$102*$AR$12*Inputs!$E$93</f>
        <v>-0.20299999999999999</v>
      </c>
      <c r="AU46" s="26">
        <f>-Inputs!$E$104*$AR$12*Inputs!$E$93</f>
        <v>-0.0406</v>
      </c>
      <c r="AV46" s="26">
        <f>-Inputs!$E$104*$AR$12*Inputs!$E$93</f>
        <v>-0.0406</v>
      </c>
      <c r="AX46" s="26" t="n">
        <v>0</v>
      </c>
      <c r="AY46" s="26">
        <f>-Inputs!$E$102*$AX$12*Inputs!$E$93</f>
        <v>-0.20299999999999999</v>
      </c>
      <c r="AZ46" s="26">
        <f>-Inputs!$E$102*$AX$12*Inputs!$E$93</f>
        <v>-0.20299999999999999</v>
      </c>
      <c r="BA46" s="26">
        <f>-Inputs!$E$104*$AX$12*Inputs!$E$93</f>
        <v>-0.0406</v>
      </c>
      <c r="BB46" s="26">
        <f>-Inputs!$E$104*$AX$12*Inputs!$E$93</f>
        <v>-0.0406</v>
      </c>
      <c r="BD46" s="26" t="n">
        <v>0</v>
      </c>
      <c r="BE46" s="26">
        <f>-Inputs!$E$102*$BD$12*Inputs!$E$93</f>
        <v>-0.40599999999999997</v>
      </c>
      <c r="BF46" s="26">
        <f>-Inputs!$E$102*$BD$12*Inputs!$E$93</f>
        <v>-0.40599999999999997</v>
      </c>
      <c r="BG46" s="26">
        <f>-Inputs!$E$104*$BD$12*Inputs!$E$93</f>
        <v>-0.0812</v>
      </c>
      <c r="BH46" s="26">
        <f>-Inputs!$E$104*$BD$12*Inputs!$E$93</f>
        <v>-0.0812</v>
      </c>
    </row>
    <row r="47">
      <c r="A47" s="3" t="inlineStr">
        <is>
          <t>Chargebacks (expected)</t>
        </is>
      </c>
      <c r="B47" s="26">
        <f>-Inputs!$G$108*(B35+Inputs!$G$109)</f>
        <v>-0.19497000000000003</v>
      </c>
      <c r="C47" s="26">
        <f>-Inputs!$G$108*(C35+Inputs!$G$109)</f>
        <v>-0.19497000000000003</v>
      </c>
      <c r="D47" s="26">
        <f>-Inputs!$G$108*(D35+Inputs!$G$109)</f>
        <v>-0.25494</v>
      </c>
      <c r="E47" s="26">
        <f>-Inputs!$G$108*(E35+Inputs!$G$109)</f>
        <v>-0.090873</v>
      </c>
      <c r="F47" s="26">
        <f>-Inputs!$G$108*(F35+Inputs!$G$109)</f>
        <v>-0.09597</v>
      </c>
      <c r="H47" s="26">
        <f>-Inputs!$D$108*(H35+Inputs!$D$109)</f>
        <v>-0.35994000000000004</v>
      </c>
      <c r="I47" s="26">
        <f>-Inputs!$D$108*(I35+Inputs!$D$109)</f>
        <v>-0.35994000000000004</v>
      </c>
      <c r="J47" s="26">
        <f>-Inputs!$D$108*(J35+Inputs!$D$109)</f>
        <v>-0.46188</v>
      </c>
      <c r="K47" s="26">
        <f>-Inputs!$D$108*(K35+Inputs!$D$109)</f>
        <v>-0.166449</v>
      </c>
      <c r="L47" s="26">
        <f>-Inputs!$D$108*(L35+Inputs!$D$109)</f>
        <v>-0.17994000000000002</v>
      </c>
      <c r="N47" s="26">
        <f>-Inputs!$E$108*(N35+Inputs!$E$109)</f>
        <v>-0.19497000000000003</v>
      </c>
      <c r="O47" s="26">
        <f>-Inputs!$E$108*(O35+Inputs!$E$109)</f>
        <v>-0.19497000000000003</v>
      </c>
      <c r="P47" s="26">
        <f>-Inputs!$E$108*(P35+Inputs!$E$109)</f>
        <v>-0.25494</v>
      </c>
      <c r="Q47" s="26">
        <f>-Inputs!$E$108*(Q35+Inputs!$E$109)</f>
        <v>-0.090873</v>
      </c>
      <c r="R47" s="26">
        <f>-Inputs!$E$108*(R35+Inputs!$E$109)</f>
        <v>-0.09597</v>
      </c>
      <c r="T47" s="26">
        <f>-Inputs!$F$108*(T35+Inputs!$F$109)</f>
        <v>-0.11248500000000002</v>
      </c>
      <c r="U47" s="26">
        <f>-Inputs!$F$108*(U35+Inputs!$F$109)</f>
        <v>-0.11248500000000002</v>
      </c>
      <c r="V47" s="26">
        <f>-Inputs!$F$108*(V35+Inputs!$F$109)</f>
        <v>-0.14697000000000002</v>
      </c>
      <c r="W47" s="26">
        <f>-Inputs!$F$108*(W35+Inputs!$F$109)</f>
        <v>-0.0461115</v>
      </c>
      <c r="X47" s="26">
        <f>-Inputs!$F$108*(X35+Inputs!$F$109)</f>
        <v>-0.05472</v>
      </c>
      <c r="Z47" s="26">
        <f>-Inputs!$E$108*(Z35+Inputs!$E$109)</f>
        <v>-0.19497000000000003</v>
      </c>
      <c r="AA47" s="26">
        <f>-Inputs!$E$108*(AA35+Inputs!$E$109)</f>
        <v>-0.19497000000000003</v>
      </c>
      <c r="AB47" s="26">
        <f>-Inputs!$E$108*(AB35+Inputs!$E$109)</f>
        <v>-0.25494</v>
      </c>
      <c r="AC47" s="26">
        <f>-Inputs!$E$108*(AC35+Inputs!$E$109)</f>
        <v>-0.090873</v>
      </c>
      <c r="AD47" s="26">
        <f>-Inputs!$E$108*(AD35+Inputs!$E$109)</f>
        <v>-0.09597</v>
      </c>
      <c r="AF47" s="26">
        <f>-Inputs!$E$108*(AF35+Inputs!$E$109)</f>
        <v>-0.19497000000000003</v>
      </c>
      <c r="AG47" s="26">
        <f>-Inputs!$E$108*(AG35+Inputs!$E$109)</f>
        <v>-0.19497000000000003</v>
      </c>
      <c r="AH47" s="26">
        <f>-Inputs!$E$108*(AH35+Inputs!$E$109)</f>
        <v>-0.25494</v>
      </c>
      <c r="AI47" s="26">
        <f>-Inputs!$E$108*(AI35+Inputs!$E$109)</f>
        <v>-0.090873</v>
      </c>
      <c r="AJ47" s="26">
        <f>-Inputs!$E$108*(AJ35+Inputs!$E$109)</f>
        <v>-0.09597</v>
      </c>
      <c r="AL47" s="26">
        <f>-Inputs!$E$108*(AL35+Inputs!$E$109)</f>
        <v>-0.19497000000000003</v>
      </c>
      <c r="AM47" s="26">
        <f>-Inputs!$E$108*(AM35+Inputs!$E$109)</f>
        <v>-0.19497000000000003</v>
      </c>
      <c r="AN47" s="26">
        <f>-Inputs!$E$108*(AN35+Inputs!$E$109)</f>
        <v>-0.25494</v>
      </c>
      <c r="AO47" s="26">
        <f>-Inputs!$E$108*(AO35+Inputs!$E$109)</f>
        <v>-0.090873</v>
      </c>
      <c r="AP47" s="26">
        <f>-Inputs!$E$108*(AP35+Inputs!$E$109)</f>
        <v>-0.09597</v>
      </c>
      <c r="AR47" s="26">
        <f>-Inputs!$E$108*(AR35+Inputs!$E$109)</f>
        <v>-0.19497000000000003</v>
      </c>
      <c r="AS47" s="26">
        <f>-Inputs!$E$108*(AS35+Inputs!$E$109)</f>
        <v>-0.19497000000000003</v>
      </c>
      <c r="AT47" s="26">
        <f>-Inputs!$E$108*(AT35+Inputs!$E$109)</f>
        <v>-0.25494</v>
      </c>
      <c r="AU47" s="26">
        <f>-Inputs!$E$108*(AU35+Inputs!$E$109)</f>
        <v>-0.090873</v>
      </c>
      <c r="AV47" s="26">
        <f>-Inputs!$E$108*(AV35+Inputs!$E$109)</f>
        <v>-0.09597</v>
      </c>
      <c r="AX47" s="26">
        <f>-Inputs!$E$108*(AX35+Inputs!$E$109)</f>
        <v>-0.19497000000000003</v>
      </c>
      <c r="AY47" s="26">
        <f>-Inputs!$E$108*(AY35+Inputs!$E$109)</f>
        <v>-0.19497000000000003</v>
      </c>
      <c r="AZ47" s="26">
        <f>-Inputs!$E$108*(AZ35+Inputs!$E$109)</f>
        <v>-0.25494</v>
      </c>
      <c r="BA47" s="26">
        <f>-Inputs!$E$108*(BA35+Inputs!$E$109)</f>
        <v>-0.090873</v>
      </c>
      <c r="BB47" s="26">
        <f>-Inputs!$E$108*(BB35+Inputs!$E$109)</f>
        <v>-0.09597</v>
      </c>
      <c r="BD47" s="26">
        <f>-Inputs!$E$108*(BD35+Inputs!$E$109)</f>
        <v>-0.19497000000000003</v>
      </c>
      <c r="BE47" s="26">
        <f>-Inputs!$E$108*(BE35+Inputs!$E$109)</f>
        <v>-0.19497000000000003</v>
      </c>
      <c r="BF47" s="26">
        <f>-Inputs!$E$108*(BF35+Inputs!$E$109)</f>
        <v>-0.25494</v>
      </c>
      <c r="BG47" s="26">
        <f>-Inputs!$E$108*(BG35+Inputs!$E$109)</f>
        <v>-0.090873</v>
      </c>
      <c r="BH47" s="26">
        <f>-Inputs!$E$108*(BH35+Inputs!$E$109)</f>
        <v>-0.09597</v>
      </c>
    </row>
    <row r="48">
      <c r="A48" s="3" t="inlineStr">
        <is>
          <t>Affiliate commissions (expected)</t>
        </is>
      </c>
      <c r="B48" s="26">
        <f>-Inputs!$G$122*Inputs!$G$123*B35</f>
        <v>-0.44991</v>
      </c>
      <c r="C48" s="26">
        <f>-Inputs!$G$122*Inputs!$G$123*C35</f>
        <v>-0.44991</v>
      </c>
      <c r="D48" s="26">
        <f>-Inputs!$G$122*Inputs!$G$123*D35</f>
        <v>-0.6298199999999999</v>
      </c>
      <c r="E48" s="26" t="n">
        <v>0</v>
      </c>
      <c r="F48" s="26" t="n">
        <v>0</v>
      </c>
      <c r="H48" s="26">
        <f>-Inputs!$D$122*Inputs!$D$123*H35</f>
        <v>-0.26994</v>
      </c>
      <c r="I48" s="26">
        <f>-Inputs!$D$122*Inputs!$D$123*I35</f>
        <v>-0.26994</v>
      </c>
      <c r="J48" s="26">
        <f>-Inputs!$D$122*Inputs!$D$123*J35</f>
        <v>-0.37188000000000004</v>
      </c>
      <c r="K48" s="26" t="n">
        <v>0</v>
      </c>
      <c r="L48" s="26" t="n">
        <v>0</v>
      </c>
      <c r="N48" s="26">
        <f>-Inputs!$E$122*Inputs!$E$123*N35</f>
        <v>-0.44991</v>
      </c>
      <c r="O48" s="26">
        <f>-Inputs!$E$122*Inputs!$E$123*O35</f>
        <v>-0.44991</v>
      </c>
      <c r="P48" s="26">
        <f>-Inputs!$E$122*Inputs!$E$123*P35</f>
        <v>-0.6298199999999999</v>
      </c>
      <c r="Q48" s="26" t="n">
        <v>0</v>
      </c>
      <c r="R48" s="26" t="n">
        <v>0</v>
      </c>
      <c r="T48" s="26">
        <f>-Inputs!$F$122*Inputs!$F$123*T35</f>
        <v>-0.5999000000000001</v>
      </c>
      <c r="U48" s="26">
        <f>-Inputs!$F$122*Inputs!$F$123*U35</f>
        <v>-0.5999000000000001</v>
      </c>
      <c r="V48" s="26">
        <f>-Inputs!$F$122*Inputs!$F$123*V35</f>
        <v>-0.8298000000000002</v>
      </c>
      <c r="W48" s="26" t="n">
        <v>0</v>
      </c>
      <c r="X48" s="26" t="n">
        <v>0</v>
      </c>
      <c r="Z48" s="26">
        <f>-Inputs!$E$122*Inputs!$E$123*Z35</f>
        <v>-0.44991</v>
      </c>
      <c r="AA48" s="26">
        <f>-Inputs!$E$122*Inputs!$E$123*AA35</f>
        <v>-0.44991</v>
      </c>
      <c r="AB48" s="26">
        <f>-Inputs!$E$122*Inputs!$E$123*AB35</f>
        <v>-0.6298199999999999</v>
      </c>
      <c r="AC48" s="26" t="n">
        <v>0</v>
      </c>
      <c r="AD48" s="26" t="n">
        <v>0</v>
      </c>
      <c r="AF48" s="26">
        <f>-Inputs!$E$122*Inputs!$E$123*AF35</f>
        <v>-0.44991</v>
      </c>
      <c r="AG48" s="26">
        <f>-Inputs!$E$122*Inputs!$E$123*AG35</f>
        <v>-0.44991</v>
      </c>
      <c r="AH48" s="26">
        <f>-Inputs!$E$122*Inputs!$E$123*AH35</f>
        <v>-0.6298199999999999</v>
      </c>
      <c r="AI48" s="26" t="n">
        <v>0</v>
      </c>
      <c r="AJ48" s="26" t="n">
        <v>0</v>
      </c>
      <c r="AL48" s="26">
        <f>-Inputs!$E$122*Inputs!$E$123*AL35</f>
        <v>-0.44991</v>
      </c>
      <c r="AM48" s="26">
        <f>-Inputs!$E$122*Inputs!$E$123*AM35</f>
        <v>-0.44991</v>
      </c>
      <c r="AN48" s="26">
        <f>-Inputs!$E$122*Inputs!$E$123*AN35</f>
        <v>-0.6298199999999999</v>
      </c>
      <c r="AO48" s="26" t="n">
        <v>0</v>
      </c>
      <c r="AP48" s="26" t="n">
        <v>0</v>
      </c>
      <c r="AR48" s="26">
        <f>-Inputs!$E$122*Inputs!$E$123*AR35</f>
        <v>-0.44991</v>
      </c>
      <c r="AS48" s="26">
        <f>-Inputs!$E$122*Inputs!$E$123*AS35</f>
        <v>-0.44991</v>
      </c>
      <c r="AT48" s="26">
        <f>-Inputs!$E$122*Inputs!$E$123*AT35</f>
        <v>-0.6298199999999999</v>
      </c>
      <c r="AU48" s="26" t="n">
        <v>0</v>
      </c>
      <c r="AV48" s="26" t="n">
        <v>0</v>
      </c>
      <c r="AX48" s="26">
        <f>-Inputs!$E$122*Inputs!$E$123*AX35</f>
        <v>-0.44991</v>
      </c>
      <c r="AY48" s="26">
        <f>-Inputs!$E$122*Inputs!$E$123*AY35</f>
        <v>-0.44991</v>
      </c>
      <c r="AZ48" s="26">
        <f>-Inputs!$E$122*Inputs!$E$123*AZ35</f>
        <v>-0.6298199999999999</v>
      </c>
      <c r="BA48" s="26" t="n">
        <v>0</v>
      </c>
      <c r="BB48" s="26" t="n">
        <v>0</v>
      </c>
      <c r="BD48" s="26">
        <f>-Inputs!$E$122*Inputs!$E$123*BD35</f>
        <v>-0.44991</v>
      </c>
      <c r="BE48" s="26">
        <f>-Inputs!$E$122*Inputs!$E$123*BE35</f>
        <v>-0.44991</v>
      </c>
      <c r="BF48" s="26">
        <f>-Inputs!$E$122*Inputs!$E$123*BF35</f>
        <v>-0.6298199999999999</v>
      </c>
      <c r="BG48" s="26" t="n">
        <v>0</v>
      </c>
      <c r="BH48" s="26" t="n">
        <v>0</v>
      </c>
    </row>
    <row r="49">
      <c r="A49" s="3" t="inlineStr">
        <is>
          <t>Total variable costs</t>
        </is>
      </c>
      <c r="B49" s="23">
        <f>SUM(B38:B48)</f>
        <v>-43.78721</v>
      </c>
      <c r="C49" s="23">
        <f>SUM(C38:C48)</f>
        <v>-45.410181175</v>
      </c>
      <c r="D49" s="23">
        <f>SUM(D38:D48)</f>
        <v>-53.524771175</v>
      </c>
      <c r="E49" s="23">
        <f>SUM(E38:E48)</f>
        <v>-18.557412</v>
      </c>
      <c r="F49" s="23">
        <f>SUM(F38:F48)</f>
        <v>-18.61178</v>
      </c>
      <c r="H49" s="23">
        <f>SUM(H38:H48)</f>
        <v>-56.62627</v>
      </c>
      <c r="I49" s="23">
        <f>SUM(I38:I48)</f>
        <v>-65.34644737500001</v>
      </c>
      <c r="J49" s="23">
        <f>SUM(J38:J48)</f>
        <v>-76.005537375</v>
      </c>
      <c r="K49" s="23">
        <f>SUM(K38:K48)</f>
        <v>-21.5384525</v>
      </c>
      <c r="L49" s="23">
        <f>SUM(L38:L48)</f>
        <v>-21.61715</v>
      </c>
      <c r="N49" s="23">
        <f>SUM(N38:N48)</f>
        <v>-43.78721</v>
      </c>
      <c r="O49" s="23">
        <f>SUM(O38:O48)</f>
        <v>-45.410181175</v>
      </c>
      <c r="P49" s="23">
        <f>SUM(P38:P48)</f>
        <v>-53.524771175</v>
      </c>
      <c r="Q49" s="23">
        <f>SUM(Q38:Q48)</f>
        <v>-18.557412</v>
      </c>
      <c r="R49" s="23">
        <f>SUM(R38:R48)</f>
        <v>-18.61178</v>
      </c>
      <c r="T49" s="23">
        <f>SUM(T38:T48)</f>
        <v>-25.304745</v>
      </c>
      <c r="U49" s="23">
        <f>SUM(U38:U48)</f>
        <v>-31.842562255555553</v>
      </c>
      <c r="V49" s="23">
        <f>SUM(V38:V48)</f>
        <v>-37.71365725555555</v>
      </c>
      <c r="W49" s="23">
        <f>SUM(W38:W48)</f>
        <v>-14.240285685185187</v>
      </c>
      <c r="X49" s="23">
        <f>SUM(X38:X48)</f>
        <v>-14.415325185185186</v>
      </c>
      <c r="Z49" s="23">
        <f>SUM(Z38:Z48)</f>
        <v>-43.78721</v>
      </c>
      <c r="AA49" s="23">
        <f>SUM(AA38:AA48)</f>
        <v>-45.410181175</v>
      </c>
      <c r="AB49" s="23">
        <f>SUM(AB38:AB48)</f>
        <v>-53.524771175</v>
      </c>
      <c r="AC49" s="23">
        <f>SUM(AC38:AC48)</f>
        <v>-18.557412</v>
      </c>
      <c r="AD49" s="23">
        <f>SUM(AD38:AD48)</f>
        <v>-18.61178</v>
      </c>
      <c r="AF49" s="23">
        <f>SUM(AF38:AF48)</f>
        <v>-49.996103000000005</v>
      </c>
      <c r="AG49" s="23">
        <f>SUM(AG38:AG48)</f>
        <v>-47.91284363125</v>
      </c>
      <c r="AH49" s="23">
        <f>SUM(AH38:AH48)</f>
        <v>-56.66868363125</v>
      </c>
      <c r="AI49" s="23">
        <f>SUM(AI38:AI48)</f>
        <v>-19.163787</v>
      </c>
      <c r="AJ49" s="23">
        <f>SUM(AJ38:AJ48)</f>
        <v>-19.218155</v>
      </c>
      <c r="AL49" s="23">
        <f>SUM(AL38:AL48)</f>
        <v>-43.78721</v>
      </c>
      <c r="AM49" s="23">
        <f>SUM(AM38:AM48)</f>
        <v>-47.573181174999995</v>
      </c>
      <c r="AN49" s="23">
        <f>SUM(AN38:AN48)</f>
        <v>-56.011771175</v>
      </c>
      <c r="AO49" s="23">
        <f>SUM(AO38:AO48)</f>
        <v>-20.205412</v>
      </c>
      <c r="AP49" s="23">
        <f>SUM(AP38:AP48)</f>
        <v>-20.25978</v>
      </c>
      <c r="AR49" s="23">
        <f>SUM(AR38:AR48)</f>
        <v>-43.78721</v>
      </c>
      <c r="AS49" s="23">
        <f>SUM(AS38:AS48)</f>
        <v>-45.410181175</v>
      </c>
      <c r="AT49" s="23">
        <f>SUM(AT38:AT48)</f>
        <v>-53.524771175</v>
      </c>
      <c r="AU49" s="23">
        <f>SUM(AU38:AU48)</f>
        <v>-18.557412</v>
      </c>
      <c r="AV49" s="23">
        <f>SUM(AV38:AV48)</f>
        <v>-18.61178</v>
      </c>
      <c r="AX49" s="23">
        <f>SUM(AX38:AX48)</f>
        <v>-43.78721</v>
      </c>
      <c r="AY49" s="23">
        <f>SUM(AY38:AY48)</f>
        <v>-45.410181175</v>
      </c>
      <c r="AZ49" s="23">
        <f>SUM(AZ38:AZ48)</f>
        <v>-53.524771175</v>
      </c>
      <c r="BA49" s="23">
        <f>SUM(BA38:BA48)</f>
        <v>-18.557412</v>
      </c>
      <c r="BB49" s="23">
        <f>SUM(BB38:BB48)</f>
        <v>-18.61178</v>
      </c>
      <c r="BD49" s="23">
        <f>SUM(BD38:BD48)</f>
        <v>-44.937005000000006</v>
      </c>
      <c r="BE49" s="23">
        <f>SUM(BE38:BE48)</f>
        <v>-46.86014985</v>
      </c>
      <c r="BF49" s="23">
        <f>SUM(BF38:BF48)</f>
        <v>-54.97473985</v>
      </c>
      <c r="BG49" s="23">
        <f>SUM(BG38:BG48)</f>
        <v>-18.598012</v>
      </c>
      <c r="BH49" s="23">
        <f>SUM(BH38:BH48)</f>
        <v>-18.65238</v>
      </c>
    </row>
    <row r="50">
      <c r="A50" s="16" t="inlineStr">
        <is>
          <t>CONTRIBUTION BEFORE ADS</t>
        </is>
      </c>
      <c r="B50" s="42">
        <f>B37+B49</f>
        <v>3.7032900000000026</v>
      </c>
      <c r="C50" s="42">
        <f>C37+C49</f>
        <v>2.080318825000006</v>
      </c>
      <c r="D50" s="42">
        <f>D37+D49</f>
        <v>13.755828825000009</v>
      </c>
      <c r="E50" s="42">
        <f>E37+E49</f>
        <v>-3.419322000000001</v>
      </c>
      <c r="F50" s="42">
        <f>F37+F49</f>
        <v>-1.7916799999999995</v>
      </c>
      <c r="H50" s="42">
        <f>H37+H49</f>
        <v>-15.23547</v>
      </c>
      <c r="I50" s="42">
        <f>I37+I49</f>
        <v>-23.955647375000012</v>
      </c>
      <c r="J50" s="42">
        <f>J37+J49</f>
        <v>-17.964537375</v>
      </c>
      <c r="K50" s="42">
        <f>K37+K49</f>
        <v>-9.051782499999998</v>
      </c>
      <c r="L50" s="42">
        <f>L37+L49</f>
        <v>-6.926949999999998</v>
      </c>
      <c r="N50" s="42">
        <f>N37+N49</f>
        <v>3.7032900000000026</v>
      </c>
      <c r="O50" s="42">
        <f>O37+O49</f>
        <v>2.080318825000006</v>
      </c>
      <c r="P50" s="42">
        <f>P37+P49</f>
        <v>13.755828825000009</v>
      </c>
      <c r="Q50" s="42">
        <f>Q37+Q49</f>
        <v>-3.419322000000001</v>
      </c>
      <c r="R50" s="42">
        <f>R37+R49</f>
        <v>-1.7916799999999995</v>
      </c>
      <c r="T50" s="42">
        <f>T37+T49</f>
        <v>32.885555</v>
      </c>
      <c r="U50" s="42">
        <f>U37+U49</f>
        <v>26.347737744444448</v>
      </c>
      <c r="V50" s="42">
        <f>V37+V49</f>
        <v>43.351692744444456</v>
      </c>
      <c r="W50" s="42">
        <f>W37+W49</f>
        <v>1.4220093148148134</v>
      </c>
      <c r="X50" s="42">
        <f>X37+X49</f>
        <v>6.977224814814811</v>
      </c>
      <c r="Z50" s="42">
        <f>Z37+Z49</f>
        <v>3.7032900000000026</v>
      </c>
      <c r="AA50" s="42">
        <f>AA37+AA49</f>
        <v>2.080318825000006</v>
      </c>
      <c r="AB50" s="42">
        <f>AB37+AB49</f>
        <v>13.755828825000009</v>
      </c>
      <c r="AC50" s="42">
        <f>AC37+AC49</f>
        <v>-3.419322000000001</v>
      </c>
      <c r="AD50" s="42">
        <f>AD37+AD49</f>
        <v>-1.7916799999999995</v>
      </c>
      <c r="AF50" s="42">
        <f>AF37+AF49</f>
        <v>-2.5056030000000007</v>
      </c>
      <c r="AG50" s="42">
        <f>AG37+AG49</f>
        <v>-0.4223436312499942</v>
      </c>
      <c r="AH50" s="42">
        <f>AH37+AH49</f>
        <v>10.611916368750009</v>
      </c>
      <c r="AI50" s="42">
        <f>AI37+AI49</f>
        <v>-4.025697000000001</v>
      </c>
      <c r="AJ50" s="42">
        <f>AJ37+AJ49</f>
        <v>-2.3980549999999994</v>
      </c>
      <c r="AL50" s="42">
        <f>AL37+AL49</f>
        <v>3.7032900000000026</v>
      </c>
      <c r="AM50" s="42">
        <f>AM37+AM49</f>
        <v>-0.0826811749999905</v>
      </c>
      <c r="AN50" s="42">
        <f>AN37+AN49</f>
        <v>11.268828825000007</v>
      </c>
      <c r="AO50" s="42">
        <f>AO37+AO49</f>
        <v>-5.067322000000001</v>
      </c>
      <c r="AP50" s="42">
        <f>AP37+AP49</f>
        <v>-3.439679999999999</v>
      </c>
      <c r="AR50" s="42">
        <f>AR37+AR49</f>
        <v>3.7032900000000026</v>
      </c>
      <c r="AS50" s="42">
        <f>AS37+AS49</f>
        <v>2.080318825000006</v>
      </c>
      <c r="AT50" s="42">
        <f>AT37+AT49</f>
        <v>13.755828825000009</v>
      </c>
      <c r="AU50" s="42">
        <f>AU37+AU49</f>
        <v>-3.419322000000001</v>
      </c>
      <c r="AV50" s="42">
        <f>AV37+AV49</f>
        <v>-1.7916799999999995</v>
      </c>
      <c r="AX50" s="42">
        <f>AX37+AX49</f>
        <v>3.7032900000000026</v>
      </c>
      <c r="AY50" s="42">
        <f>AY37+AY49</f>
        <v>2.080318825000006</v>
      </c>
      <c r="AZ50" s="42">
        <f>AZ37+AZ49</f>
        <v>13.755828825000009</v>
      </c>
      <c r="BA50" s="42">
        <f>BA37+BA49</f>
        <v>-3.419322000000001</v>
      </c>
      <c r="BB50" s="42">
        <f>BB37+BB49</f>
        <v>-1.7916799999999995</v>
      </c>
      <c r="BD50" s="42">
        <f>BD37+BD49</f>
        <v>0.053994999999993354</v>
      </c>
      <c r="BE50" s="42">
        <f>BE37+BE49</f>
        <v>-1.8691498499999994</v>
      </c>
      <c r="BF50" s="42">
        <f>BF37+BF49</f>
        <v>9.60646015000001</v>
      </c>
      <c r="BG50" s="42">
        <f>BG37+BG49</f>
        <v>-3.6128320000000027</v>
      </c>
      <c r="BH50" s="42">
        <f>BH37+BH49</f>
        <v>-2.0021800000000027</v>
      </c>
    </row>
    <row r="51">
      <c r="A51" s="3" t="inlineStr">
        <is>
          <t>Contribution margin (% of net revenue)</t>
        </is>
      </c>
      <c r="B51" s="34">
        <f>IFERROR(B50/B37,0)</f>
        <v>0.07797959591918388</v>
      </c>
      <c r="C51" s="34">
        <f>IFERROR(C50/C37,0)</f>
        <v>0.043804946778829575</v>
      </c>
      <c r="D51" s="34">
        <f>IFERROR(D50/D37,0)</f>
        <v>0.20445460987268257</v>
      </c>
      <c r="E51" s="34">
        <f>IFERROR(E50/E37,0)</f>
        <v>-0.22587539114908164</v>
      </c>
      <c r="F51" s="34">
        <f>IFERROR(F50/F37,0)</f>
        <v>-0.1065201752664966</v>
      </c>
      <c r="H51" s="34">
        <f>IFERROR(H50/H37,0)</f>
        <v>-0.3680883191433845</v>
      </c>
      <c r="I51" s="34">
        <f>IFERROR(I50/I37,0)</f>
        <v>-0.5787674404698632</v>
      </c>
      <c r="J51" s="34">
        <f>IFERROR(J50/J37,0)</f>
        <v>-0.30951460820799087</v>
      </c>
      <c r="K51" s="34">
        <f>IFERROR(K50/K37,0)</f>
        <v>-0.7249156500492123</v>
      </c>
      <c r="L51" s="34">
        <f>IFERROR(L50/L37,0)</f>
        <v>-0.4715354453989733</v>
      </c>
      <c r="N51" s="34">
        <f>IFERROR(N50/N37,0)</f>
        <v>0.07797959591918388</v>
      </c>
      <c r="O51" s="34">
        <f>IFERROR(O50/O37,0)</f>
        <v>0.043804946778829575</v>
      </c>
      <c r="P51" s="34">
        <f>IFERROR(P50/P37,0)</f>
        <v>0.20445460987268257</v>
      </c>
      <c r="Q51" s="34">
        <f>IFERROR(Q50/Q37,0)</f>
        <v>-0.22587539114908164</v>
      </c>
      <c r="R51" s="34">
        <f>IFERROR(R50/R37,0)</f>
        <v>-0.1065201752664966</v>
      </c>
      <c r="T51" s="34">
        <f>IFERROR(T50/T37,0)</f>
        <v>0.5651380900253135</v>
      </c>
      <c r="U51" s="34">
        <f>IFERROR(U50/U37,0)</f>
        <v>0.45278573481223583</v>
      </c>
      <c r="V51" s="34">
        <f>IFERROR(V50/V37,0)</f>
        <v>0.5347746323730724</v>
      </c>
      <c r="W51" s="34">
        <f>IFERROR(W50/W37,0)</f>
        <v>0.09079188680936053</v>
      </c>
      <c r="X51" s="34">
        <f>IFERROR(X50/X37,0)</f>
        <v>0.32615208634850973</v>
      </c>
      <c r="Z51" s="34">
        <f>IFERROR(Z50/Z37,0)</f>
        <v>0.07797959591918388</v>
      </c>
      <c r="AA51" s="34">
        <f>IFERROR(AA50/AA37,0)</f>
        <v>0.043804946778829575</v>
      </c>
      <c r="AB51" s="34">
        <f>IFERROR(AB50/AB37,0)</f>
        <v>0.20445460987268257</v>
      </c>
      <c r="AC51" s="34">
        <f>IFERROR(AC50/AC37,0)</f>
        <v>-0.22587539114908164</v>
      </c>
      <c r="AD51" s="34">
        <f>IFERROR(AD50/AD37,0)</f>
        <v>-0.1065201752664966</v>
      </c>
      <c r="AF51" s="34">
        <f>IFERROR(AF50/AF37,0)</f>
        <v>-0.05276008885987725</v>
      </c>
      <c r="AG51" s="34">
        <f>IFERROR(AG50/AG37,0)</f>
        <v>-0.008893223513123555</v>
      </c>
      <c r="AH51" s="34">
        <f>IFERROR(AH50/AH37,0)</f>
        <v>0.15772624454523307</v>
      </c>
      <c r="AI51" s="34">
        <f>IFERROR(AI50/AI37,0)</f>
        <v>-0.2659316333830755</v>
      </c>
      <c r="AJ51" s="34">
        <f>IFERROR(AJ50/AJ37,0)</f>
        <v>-0.14257079327709107</v>
      </c>
      <c r="AL51" s="34">
        <f>IFERROR(AL50/AL37,0)</f>
        <v>0.07797959591918388</v>
      </c>
      <c r="AM51" s="34">
        <f>IFERROR(AM50/AM37,0)</f>
        <v>-0.001741004516692612</v>
      </c>
      <c r="AN51" s="34">
        <f>IFERROR(AN50/AN37,0)</f>
        <v>0.167490016810195</v>
      </c>
      <c r="AO51" s="34">
        <f>IFERROR(AO50/AO37,0)</f>
        <v>-0.3347398515929025</v>
      </c>
      <c r="AP51" s="34">
        <f>IFERROR(AP50/AP37,0)</f>
        <v>-0.20449818966593536</v>
      </c>
      <c r="AR51" s="34">
        <f>IFERROR(AR50/AR37,0)</f>
        <v>0.07797959591918388</v>
      </c>
      <c r="AS51" s="34">
        <f>IFERROR(AS50/AS37,0)</f>
        <v>0.043804946778829575</v>
      </c>
      <c r="AT51" s="34">
        <f>IFERROR(AT50/AT37,0)</f>
        <v>0.20445460987268257</v>
      </c>
      <c r="AU51" s="34">
        <f>IFERROR(AU50/AU37,0)</f>
        <v>-0.22587539114908164</v>
      </c>
      <c r="AV51" s="34">
        <f>IFERROR(AV50/AV37,0)</f>
        <v>-0.1065201752664966</v>
      </c>
      <c r="AX51" s="34">
        <f>IFERROR(AX50/AX37,0)</f>
        <v>0.07797959591918388</v>
      </c>
      <c r="AY51" s="34">
        <f>IFERROR(AY50/AY37,0)</f>
        <v>0.043804946778829575</v>
      </c>
      <c r="AZ51" s="34">
        <f>IFERROR(AZ50/AZ37,0)</f>
        <v>0.20445460987268257</v>
      </c>
      <c r="BA51" s="34">
        <f>IFERROR(BA50/BA37,0)</f>
        <v>-0.22587539114908164</v>
      </c>
      <c r="BB51" s="34">
        <f>IFERROR(BB50/BB37,0)</f>
        <v>-0.1065201752664966</v>
      </c>
      <c r="BD51" s="34">
        <f>IFERROR(BD50/BD37,0)</f>
        <v>0.0012001289146716756</v>
      </c>
      <c r="BE51" s="34">
        <f>IFERROR(BE50/BE37,0)</f>
        <v>-0.04154497232779888</v>
      </c>
      <c r="BF51" s="34">
        <f>IFERROR(BF50/BF37,0)</f>
        <v>0.14875010297114344</v>
      </c>
      <c r="BG51" s="34">
        <f>IFERROR(BG50/BG37,0)</f>
        <v>-0.24109366720987024</v>
      </c>
      <c r="BH51" s="34">
        <f>IFERROR(BH50/BH37,0)</f>
        <v>-0.12024960661133217</v>
      </c>
    </row>
    <row r="52">
      <c r="A52" s="3" t="inlineStr">
        <is>
          <t>Paid CPA (first orders only)</t>
        </is>
      </c>
      <c r="B52" s="26">
        <f>-Inputs!$G$111*$B$7</f>
        <v>-60.0</v>
      </c>
      <c r="C52" s="26">
        <f>-Inputs!$G$112*$B$7</f>
        <v>-45.0</v>
      </c>
      <c r="D52" s="26">
        <f>-Inputs!$G$112*$B$7</f>
        <v>-45.0</v>
      </c>
      <c r="E52" s="26" t="n">
        <v>0</v>
      </c>
      <c r="F52" s="26" t="n">
        <v>0</v>
      </c>
      <c r="H52" s="26">
        <f>-Inputs!$D$111*$H$7</f>
        <v>-90.0</v>
      </c>
      <c r="I52" s="26">
        <f>-Inputs!$D$112*$H$7</f>
        <v>-65.0</v>
      </c>
      <c r="J52" s="26">
        <f>-Inputs!$D$112*$H$7</f>
        <v>-65.0</v>
      </c>
      <c r="K52" s="26" t="n">
        <v>0</v>
      </c>
      <c r="L52" s="26" t="n">
        <v>0</v>
      </c>
      <c r="N52" s="26">
        <f>-Inputs!$E$111*$N$7</f>
        <v>-60.0</v>
      </c>
      <c r="O52" s="26">
        <f>-Inputs!$E$112*$N$7</f>
        <v>-45.0</v>
      </c>
      <c r="P52" s="26">
        <f>-Inputs!$E$112*$N$7</f>
        <v>-45.0</v>
      </c>
      <c r="Q52" s="26" t="n">
        <v>0</v>
      </c>
      <c r="R52" s="26" t="n">
        <v>0</v>
      </c>
      <c r="T52" s="26">
        <f>-Inputs!$F$111*$T$7</f>
        <v>-40.0</v>
      </c>
      <c r="U52" s="26">
        <f>-Inputs!$F$112*$T$7</f>
        <v>-32.0</v>
      </c>
      <c r="V52" s="26">
        <f>-Inputs!$F$112*$T$7</f>
        <v>-32.0</v>
      </c>
      <c r="W52" s="26" t="n">
        <v>0</v>
      </c>
      <c r="X52" s="26" t="n">
        <v>0</v>
      </c>
      <c r="Z52" s="26">
        <f>-Inputs!$E$111*$Z$7</f>
        <v>-78.0</v>
      </c>
      <c r="AA52" s="26">
        <f>-Inputs!$E$112*$Z$7</f>
        <v>-58.5</v>
      </c>
      <c r="AB52" s="26">
        <f>-Inputs!$E$112*$Z$7</f>
        <v>-58.5</v>
      </c>
      <c r="AC52" s="26" t="n">
        <v>0</v>
      </c>
      <c r="AD52" s="26" t="n">
        <v>0</v>
      </c>
      <c r="AF52" s="26">
        <f>-Inputs!$E$111*$AF$7</f>
        <v>-60.0</v>
      </c>
      <c r="AG52" s="26">
        <f>-Inputs!$E$112*$AF$7</f>
        <v>-45.0</v>
      </c>
      <c r="AH52" s="26">
        <f>-Inputs!$E$112*$AF$7</f>
        <v>-45.0</v>
      </c>
      <c r="AI52" s="26" t="n">
        <v>0</v>
      </c>
      <c r="AJ52" s="26" t="n">
        <v>0</v>
      </c>
      <c r="AL52" s="26">
        <f>-Inputs!$E$111*$AL$7</f>
        <v>-60.0</v>
      </c>
      <c r="AM52" s="26">
        <f>-Inputs!$E$112*$AL$7</f>
        <v>-45.0</v>
      </c>
      <c r="AN52" s="26">
        <f>-Inputs!$E$112*$AL$7</f>
        <v>-45.0</v>
      </c>
      <c r="AO52" s="26" t="n">
        <v>0</v>
      </c>
      <c r="AP52" s="26" t="n">
        <v>0</v>
      </c>
      <c r="AR52" s="26">
        <f>-Inputs!$E$111*$AR$7</f>
        <v>-60.0</v>
      </c>
      <c r="AS52" s="26">
        <f>-Inputs!$E$112*$AR$7</f>
        <v>-45.0</v>
      </c>
      <c r="AT52" s="26">
        <f>-Inputs!$E$112*$AR$7</f>
        <v>-45.0</v>
      </c>
      <c r="AU52" s="26" t="n">
        <v>0</v>
      </c>
      <c r="AV52" s="26" t="n">
        <v>0</v>
      </c>
      <c r="AX52" s="26">
        <f>-Inputs!$E$111*$AX$7</f>
        <v>-60.0</v>
      </c>
      <c r="AY52" s="26">
        <f>-Inputs!$E$112*$AX$7</f>
        <v>-45.0</v>
      </c>
      <c r="AZ52" s="26">
        <f>-Inputs!$E$112*$AX$7</f>
        <v>-45.0</v>
      </c>
      <c r="BA52" s="26" t="n">
        <v>0</v>
      </c>
      <c r="BB52" s="26" t="n">
        <v>0</v>
      </c>
      <c r="BD52" s="26">
        <f>-Inputs!$E$111*$BD$7</f>
        <v>-60.0</v>
      </c>
      <c r="BE52" s="26">
        <f>-Inputs!$E$112*$BD$7</f>
        <v>-45.0</v>
      </c>
      <c r="BF52" s="26">
        <f>-Inputs!$E$112*$BD$7</f>
        <v>-45.0</v>
      </c>
      <c r="BG52" s="26" t="n">
        <v>0</v>
      </c>
      <c r="BH52" s="26" t="n">
        <v>0</v>
      </c>
    </row>
    <row r="53">
      <c r="A53" s="16" t="inlineStr">
        <is>
          <t>CONTRIBUTION AFTER CPA</t>
        </is>
      </c>
      <c r="B53" s="42">
        <f>B50+B52</f>
        <v>-56.29671</v>
      </c>
      <c r="C53" s="42">
        <f>C50+C52</f>
        <v>-42.919681174999994</v>
      </c>
      <c r="D53" s="42">
        <f>D50+D52</f>
        <v>-31.24417117499999</v>
      </c>
      <c r="E53" s="42">
        <f>E50+E52</f>
        <v>-3.419322000000001</v>
      </c>
      <c r="F53" s="42">
        <f>F50+F52</f>
        <v>-1.7916799999999995</v>
      </c>
      <c r="H53" s="42">
        <f>H50+H52</f>
        <v>-105.23546999999999</v>
      </c>
      <c r="I53" s="42">
        <f>I50+I52</f>
        <v>-88.95564737500001</v>
      </c>
      <c r="J53" s="42">
        <f>J50+J52</f>
        <v>-82.96453737499999</v>
      </c>
      <c r="K53" s="42">
        <f>K50+K52</f>
        <v>-9.051782499999998</v>
      </c>
      <c r="L53" s="42">
        <f>L50+L52</f>
        <v>-6.926949999999998</v>
      </c>
      <c r="N53" s="42">
        <f>N50+N52</f>
        <v>-56.29671</v>
      </c>
      <c r="O53" s="42">
        <f>O50+O52</f>
        <v>-42.919681174999994</v>
      </c>
      <c r="P53" s="42">
        <f>P50+P52</f>
        <v>-31.24417117499999</v>
      </c>
      <c r="Q53" s="42">
        <f>Q50+Q52</f>
        <v>-3.419322000000001</v>
      </c>
      <c r="R53" s="42">
        <f>R50+R52</f>
        <v>-1.7916799999999995</v>
      </c>
      <c r="T53" s="42">
        <f>T50+T52</f>
        <v>-7.1144450000000035</v>
      </c>
      <c r="U53" s="42">
        <f>U50+U52</f>
        <v>-5.652262255555552</v>
      </c>
      <c r="V53" s="42">
        <f>V50+V52</f>
        <v>11.351692744444456</v>
      </c>
      <c r="W53" s="42">
        <f>W50+W52</f>
        <v>1.4220093148148134</v>
      </c>
      <c r="X53" s="42">
        <f>X50+X52</f>
        <v>6.977224814814811</v>
      </c>
      <c r="Z53" s="42">
        <f>Z50+Z52</f>
        <v>-74.29670999999999</v>
      </c>
      <c r="AA53" s="42">
        <f>AA50+AA52</f>
        <v>-56.419681174999994</v>
      </c>
      <c r="AB53" s="42">
        <f>AB50+AB52</f>
        <v>-44.74417117499999</v>
      </c>
      <c r="AC53" s="42">
        <f>AC50+AC52</f>
        <v>-3.419322000000001</v>
      </c>
      <c r="AD53" s="42">
        <f>AD50+AD52</f>
        <v>-1.7916799999999995</v>
      </c>
      <c r="AF53" s="42">
        <f>AF50+AF52</f>
        <v>-62.505603</v>
      </c>
      <c r="AG53" s="42">
        <f>AG50+AG52</f>
        <v>-45.422343631249994</v>
      </c>
      <c r="AH53" s="42">
        <f>AH50+AH52</f>
        <v>-34.38808363124999</v>
      </c>
      <c r="AI53" s="42">
        <f>AI50+AI52</f>
        <v>-4.025697000000001</v>
      </c>
      <c r="AJ53" s="42">
        <f>AJ50+AJ52</f>
        <v>-2.3980549999999994</v>
      </c>
      <c r="AL53" s="42">
        <f>AL50+AL52</f>
        <v>-56.29671</v>
      </c>
      <c r="AM53" s="42">
        <f>AM50+AM52</f>
        <v>-45.08268117499999</v>
      </c>
      <c r="AN53" s="42">
        <f>AN50+AN52</f>
        <v>-33.73117117499999</v>
      </c>
      <c r="AO53" s="42">
        <f>AO50+AO52</f>
        <v>-5.067322000000001</v>
      </c>
      <c r="AP53" s="42">
        <f>AP50+AP52</f>
        <v>-3.439679999999999</v>
      </c>
      <c r="AR53" s="42">
        <f>AR50+AR52</f>
        <v>-56.29671</v>
      </c>
      <c r="AS53" s="42">
        <f>AS50+AS52</f>
        <v>-42.919681174999994</v>
      </c>
      <c r="AT53" s="42">
        <f>AT50+AT52</f>
        <v>-31.24417117499999</v>
      </c>
      <c r="AU53" s="42">
        <f>AU50+AU52</f>
        <v>-3.419322000000001</v>
      </c>
      <c r="AV53" s="42">
        <f>AV50+AV52</f>
        <v>-1.7916799999999995</v>
      </c>
      <c r="AX53" s="42">
        <f>AX50+AX52</f>
        <v>-56.29671</v>
      </c>
      <c r="AY53" s="42">
        <f>AY50+AY52</f>
        <v>-42.919681174999994</v>
      </c>
      <c r="AZ53" s="42">
        <f>AZ50+AZ52</f>
        <v>-31.24417117499999</v>
      </c>
      <c r="BA53" s="42">
        <f>BA50+BA52</f>
        <v>-3.419322000000001</v>
      </c>
      <c r="BB53" s="42">
        <f>BB50+BB52</f>
        <v>-1.7916799999999995</v>
      </c>
      <c r="BD53" s="42">
        <f>BD50+BD52</f>
        <v>-59.94600500000001</v>
      </c>
      <c r="BE53" s="42">
        <f>BE50+BE52</f>
        <v>-46.86914985</v>
      </c>
      <c r="BF53" s="42">
        <f>BF50+BF52</f>
        <v>-35.39353984999999</v>
      </c>
      <c r="BG53" s="42">
        <f>BG50+BG52</f>
        <v>-3.6128320000000027</v>
      </c>
      <c r="BH53" s="42">
        <f>BH50+BH52</f>
        <v>-2.0021800000000027</v>
      </c>
    </row>
    <row r="54">
      <c r="A54" s="3" t="inlineStr">
        <is>
          <t>Break-even CPA (= contribution before ads)</t>
        </is>
      </c>
      <c r="B54" s="26">
        <f>B50</f>
        <v>3.7032900000000026</v>
      </c>
      <c r="C54" s="26">
        <f>C50</f>
        <v>2.080318825000006</v>
      </c>
      <c r="D54" s="26">
        <f>D50</f>
        <v>13.755828825000009</v>
      </c>
      <c r="E54" s="26" t="inlineStr">
        <is>
          <t>n/a</t>
        </is>
      </c>
      <c r="F54" s="26" t="inlineStr">
        <is>
          <t>n/a</t>
        </is>
      </c>
      <c r="H54" s="26">
        <f>H50</f>
        <v>-15.23547</v>
      </c>
      <c r="I54" s="26">
        <f>I50</f>
        <v>-23.955647375000012</v>
      </c>
      <c r="J54" s="26">
        <f>J50</f>
        <v>-17.964537375</v>
      </c>
      <c r="K54" s="26" t="inlineStr">
        <is>
          <t>n/a</t>
        </is>
      </c>
      <c r="L54" s="26" t="inlineStr">
        <is>
          <t>n/a</t>
        </is>
      </c>
      <c r="N54" s="26">
        <f>N50</f>
        <v>3.7032900000000026</v>
      </c>
      <c r="O54" s="26">
        <f>O50</f>
        <v>2.080318825000006</v>
      </c>
      <c r="P54" s="26">
        <f>P50</f>
        <v>13.755828825000009</v>
      </c>
      <c r="Q54" s="26" t="inlineStr">
        <is>
          <t>n/a</t>
        </is>
      </c>
      <c r="R54" s="26" t="inlineStr">
        <is>
          <t>n/a</t>
        </is>
      </c>
      <c r="T54" s="26">
        <f>T50</f>
        <v>32.885555</v>
      </c>
      <c r="U54" s="26">
        <f>U50</f>
        <v>26.347737744444448</v>
      </c>
      <c r="V54" s="26">
        <f>V50</f>
        <v>43.351692744444456</v>
      </c>
      <c r="W54" s="26" t="inlineStr">
        <is>
          <t>n/a</t>
        </is>
      </c>
      <c r="X54" s="26" t="inlineStr">
        <is>
          <t>n/a</t>
        </is>
      </c>
      <c r="Z54" s="26">
        <f>Z50</f>
        <v>3.7032900000000026</v>
      </c>
      <c r="AA54" s="26">
        <f>AA50</f>
        <v>2.080318825000006</v>
      </c>
      <c r="AB54" s="26">
        <f>AB50</f>
        <v>13.755828825000009</v>
      </c>
      <c r="AC54" s="26" t="inlineStr">
        <is>
          <t>n/a</t>
        </is>
      </c>
      <c r="AD54" s="26" t="inlineStr">
        <is>
          <t>n/a</t>
        </is>
      </c>
      <c r="AF54" s="26">
        <f>AF50</f>
        <v>-2.5056030000000007</v>
      </c>
      <c r="AG54" s="26">
        <f>AG50</f>
        <v>-0.4223436312499942</v>
      </c>
      <c r="AH54" s="26">
        <f>AH50</f>
        <v>10.611916368750009</v>
      </c>
      <c r="AI54" s="26" t="inlineStr">
        <is>
          <t>n/a</t>
        </is>
      </c>
      <c r="AJ54" s="26" t="inlineStr">
        <is>
          <t>n/a</t>
        </is>
      </c>
      <c r="AL54" s="26">
        <f>AL50</f>
        <v>3.7032900000000026</v>
      </c>
      <c r="AM54" s="26">
        <f>AM50</f>
        <v>-0.0826811749999905</v>
      </c>
      <c r="AN54" s="26">
        <f>AN50</f>
        <v>11.268828825000007</v>
      </c>
      <c r="AO54" s="26" t="inlineStr">
        <is>
          <t>n/a</t>
        </is>
      </c>
      <c r="AP54" s="26" t="inlineStr">
        <is>
          <t>n/a</t>
        </is>
      </c>
      <c r="AR54" s="26">
        <f>AR50</f>
        <v>3.7032900000000026</v>
      </c>
      <c r="AS54" s="26">
        <f>AS50</f>
        <v>2.080318825000006</v>
      </c>
      <c r="AT54" s="26">
        <f>AT50</f>
        <v>13.755828825000009</v>
      </c>
      <c r="AU54" s="26" t="inlineStr">
        <is>
          <t>n/a</t>
        </is>
      </c>
      <c r="AV54" s="26" t="inlineStr">
        <is>
          <t>n/a</t>
        </is>
      </c>
      <c r="AX54" s="26">
        <f>AX50</f>
        <v>3.7032900000000026</v>
      </c>
      <c r="AY54" s="26">
        <f>AY50</f>
        <v>2.080318825000006</v>
      </c>
      <c r="AZ54" s="26">
        <f>AZ50</f>
        <v>13.755828825000009</v>
      </c>
      <c r="BA54" s="26" t="inlineStr">
        <is>
          <t>n/a</t>
        </is>
      </c>
      <c r="BB54" s="26" t="inlineStr">
        <is>
          <t>n/a</t>
        </is>
      </c>
      <c r="BD54" s="26">
        <f>BD50</f>
        <v>0.053994999999993354</v>
      </c>
      <c r="BE54" s="26">
        <f>BE50</f>
        <v>-1.8691498499999994</v>
      </c>
      <c r="BF54" s="26">
        <f>BF50</f>
        <v>9.60646015000001</v>
      </c>
      <c r="BG54" s="26" t="inlineStr">
        <is>
          <t>n/a</t>
        </is>
      </c>
      <c r="BH54" s="26" t="inlineStr">
        <is>
          <t>n/a</t>
        </is>
      </c>
    </row>
    <row r="56">
      <c r="A56" s="4" t="inlineStr">
        <is>
          <t>Cohort first-order mix (per new customer; value in first column of each group)</t>
        </is>
      </c>
    </row>
    <row r="57">
      <c r="A57" s="16" t="inlineStr">
        <is>
          <t>First-order contribution before ads (mix)</t>
        </is>
      </c>
      <c r="B57" s="23">
        <f>IF(Inputs!$D$4=1,B50,(1-Inputs!$G$132)*C50+Inputs!$G$132*D50)</f>
        <v>4.999196325000007</v>
      </c>
      <c r="H57" s="23">
        <f>IF(Inputs!$D$4=1,H50,(1-Inputs!$D$132)*I50+Inputs!$D$132*J50)</f>
        <v>-23.056980875000008</v>
      </c>
      <c r="N57" s="23">
        <f>IF(Inputs!$D$4=1,N50,(1-Inputs!$E$132)*O50+Inputs!$E$132*P50)</f>
        <v>4.999196325000007</v>
      </c>
      <c r="T57" s="23">
        <f>IF(Inputs!$D$4=1,T50,(1-Inputs!$F$132)*U50+Inputs!$F$132*V50)</f>
        <v>32.29912199444445</v>
      </c>
      <c r="Z57" s="23">
        <f>IF(Inputs!$D$4=1,Z50,(1-Inputs!$E$132)*AA50+Inputs!$E$132*AB50)</f>
        <v>4.999196325000007</v>
      </c>
      <c r="AF57" s="23">
        <f>IF(Inputs!$D$4=1,AF50,(1-Inputs!$E$132)*AG50+Inputs!$E$132*AH50)</f>
        <v>2.3362213687500066</v>
      </c>
      <c r="AL57" s="23">
        <f>IF(Inputs!$D$4=1,AL50,(1-Inputs!$E$132)*AM50+Inputs!$E$132*AN50)</f>
        <v>2.755196325000009</v>
      </c>
      <c r="AR57" s="23">
        <f>IF(Inputs!$D$4=1,AR50,(1-Inputs!$E$132)*AS50+Inputs!$E$132*AT50)</f>
        <v>4.999196325000007</v>
      </c>
      <c r="AX57" s="23">
        <f>IF(Inputs!$D$4=1,AX50,(1-Inputs!$E$132)*AY50+Inputs!$E$132*AZ50)</f>
        <v>4.999196325000007</v>
      </c>
      <c r="BD57" s="23">
        <f>IF(Inputs!$D$4=1,BD50,(1-Inputs!$E$132)*BE50+Inputs!$E$132*BF50)</f>
        <v>0.9997526500000031</v>
      </c>
    </row>
    <row r="58">
      <c r="A58" s="3" t="inlineStr">
        <is>
          <t>First-order net revenue (mix)</t>
        </is>
      </c>
      <c r="B58" s="26">
        <f>IF(Inputs!$D$4=1,B37,(1-Inputs!$G$132)*C37+Inputs!$G$132*D37)</f>
        <v>52.43802500000001</v>
      </c>
      <c r="H58" s="26">
        <f>IF(Inputs!$D$4=1,H37,(1-Inputs!$D$132)*I37+Inputs!$D$132*J37)</f>
        <v>43.888329999999996</v>
      </c>
      <c r="N58" s="26">
        <f>IF(Inputs!$D$4=1,N37,(1-Inputs!$E$132)*O37+Inputs!$E$132*P37)</f>
        <v>52.43802500000001</v>
      </c>
      <c r="T58" s="26">
        <f>IF(Inputs!$D$4=1,T37,(1-Inputs!$F$132)*U37+Inputs!$F$132*V37)</f>
        <v>66.1965675</v>
      </c>
      <c r="Z58" s="26">
        <f>IF(Inputs!$D$4=1,Z37,(1-Inputs!$E$132)*AA37+Inputs!$E$132*AB37)</f>
        <v>52.43802500000001</v>
      </c>
      <c r="AF58" s="26">
        <f>IF(Inputs!$D$4=1,AF37,(1-Inputs!$E$132)*AG37+Inputs!$E$132*AH37)</f>
        <v>52.43802500000001</v>
      </c>
      <c r="AL58" s="26">
        <f>IF(Inputs!$D$4=1,AL37,(1-Inputs!$E$132)*AM37+Inputs!$E$132*AN37)</f>
        <v>52.43802500000001</v>
      </c>
      <c r="AR58" s="26">
        <f>IF(Inputs!$D$4=1,AR37,(1-Inputs!$E$132)*AS37+Inputs!$E$132*AT37)</f>
        <v>52.43802500000001</v>
      </c>
      <c r="AX58" s="26">
        <f>IF(Inputs!$D$4=1,AX37,(1-Inputs!$E$132)*AY37+Inputs!$E$132*AZ37)</f>
        <v>52.43802500000001</v>
      </c>
      <c r="BD58" s="26">
        <f>IF(Inputs!$D$4=1,BD37,(1-Inputs!$E$132)*BE37+Inputs!$E$132*BF37)</f>
        <v>49.88855000000001</v>
      </c>
    </row>
    <row r="59">
      <c r="A59" s="3" t="inlineStr">
        <is>
          <t>First-order gross revenue (mix)</t>
        </is>
      </c>
      <c r="B59" s="26">
        <f>IF(Inputs!$D$4=1,B35,(1-Inputs!$G$132)*C35+Inputs!$G$132*D35)</f>
        <v>54.9875</v>
      </c>
      <c r="H59" s="26">
        <f>IF(Inputs!$D$4=1,H35,(1-Inputs!$D$132)*I35+Inputs!$D$132*J35)</f>
        <v>47.5385</v>
      </c>
      <c r="N59" s="26">
        <f>IF(Inputs!$D$4=1,N35,(1-Inputs!$E$132)*O35+Inputs!$E$132*P35)</f>
        <v>54.9875</v>
      </c>
      <c r="T59" s="26">
        <f>IF(Inputs!$D$4=1,T35,(1-Inputs!$F$132)*U35+Inputs!$F$132*V35)</f>
        <v>68.0365</v>
      </c>
      <c r="Z59" s="26">
        <f>IF(Inputs!$D$4=1,Z35,(1-Inputs!$E$132)*AA35+Inputs!$E$132*AB35)</f>
        <v>54.9875</v>
      </c>
      <c r="AF59" s="26">
        <f>IF(Inputs!$D$4=1,AF35,(1-Inputs!$E$132)*AG35+Inputs!$E$132*AH35)</f>
        <v>54.9875</v>
      </c>
      <c r="AL59" s="26">
        <f>IF(Inputs!$D$4=1,AL35,(1-Inputs!$E$132)*AM35+Inputs!$E$132*AN35)</f>
        <v>54.9875</v>
      </c>
      <c r="AR59" s="26">
        <f>IF(Inputs!$D$4=1,AR35,(1-Inputs!$E$132)*AS35+Inputs!$E$132*AT35)</f>
        <v>54.9875</v>
      </c>
      <c r="AX59" s="26">
        <f>IF(Inputs!$D$4=1,AX35,(1-Inputs!$E$132)*AY35+Inputs!$E$132*AZ35)</f>
        <v>54.9875</v>
      </c>
      <c r="BD59" s="26">
        <f>IF(Inputs!$D$4=1,BD35,(1-Inputs!$E$132)*BE35+Inputs!$E$132*BF35)</f>
        <v>54.9875</v>
      </c>
    </row>
    <row r="60">
      <c r="A60" s="3" t="inlineStr">
        <is>
          <t>Paid CAC per new customer (by stage)</t>
        </is>
      </c>
      <c r="B60" s="26">
        <f>IF(Inputs!$D$4=1,Inputs!$G$111,Inputs!$G$112)*$B$7</f>
        <v>45.0</v>
      </c>
      <c r="H60" s="26">
        <f>IF(Inputs!$D$4=1,Inputs!$D$111,Inputs!$D$112)*$H$7</f>
        <v>65.0</v>
      </c>
      <c r="N60" s="26">
        <f>IF(Inputs!$D$4=1,Inputs!$E$111,Inputs!$E$112)*$N$7</f>
        <v>45.0</v>
      </c>
      <c r="T60" s="26">
        <f>IF(Inputs!$D$4=1,Inputs!$F$111,Inputs!$F$112)*$T$7</f>
        <v>32.0</v>
      </c>
      <c r="Z60" s="26">
        <f>IF(Inputs!$D$4=1,Inputs!$E$111,Inputs!$E$112)*$Z$7</f>
        <v>58.5</v>
      </c>
      <c r="AF60" s="26">
        <f>IF(Inputs!$D$4=1,Inputs!$E$111,Inputs!$E$112)*$AF$7</f>
        <v>45.0</v>
      </c>
      <c r="AL60" s="26">
        <f>IF(Inputs!$D$4=1,Inputs!$E$111,Inputs!$E$112)*$AL$7</f>
        <v>45.0</v>
      </c>
      <c r="AR60" s="26">
        <f>IF(Inputs!$D$4=1,Inputs!$E$111,Inputs!$E$112)*$AR$7</f>
        <v>45.0</v>
      </c>
      <c r="AX60" s="26">
        <f>IF(Inputs!$D$4=1,Inputs!$E$111,Inputs!$E$112)*$AX$7</f>
        <v>45.0</v>
      </c>
      <c r="BD60" s="26">
        <f>IF(Inputs!$D$4=1,Inputs!$E$111,Inputs!$E$112)*$BD$7</f>
        <v>45.0</v>
      </c>
    </row>
    <row r="61">
      <c r="A61" s="16" t="inlineStr">
        <is>
          <t>FIRST-ORDER CONTRIBUTION AFTER CAC</t>
        </is>
      </c>
      <c r="B61" s="42">
        <f>B57-B60</f>
        <v>-40.00080367499999</v>
      </c>
      <c r="H61" s="42">
        <f>H57-H60</f>
        <v>-88.05698087500001</v>
      </c>
      <c r="N61" s="42">
        <f>N57-N60</f>
        <v>-40.00080367499999</v>
      </c>
      <c r="T61" s="42">
        <f>T57-T60</f>
        <v>0.2991219944444481</v>
      </c>
      <c r="Z61" s="42">
        <f>Z57-Z60</f>
        <v>-53.50080367499999</v>
      </c>
      <c r="AF61" s="42">
        <f>AF57-AF60</f>
        <v>-42.66377863125</v>
      </c>
      <c r="AL61" s="42">
        <f>AL57-AL60</f>
        <v>-42.24480367499999</v>
      </c>
      <c r="AR61" s="42">
        <f>AR57-AR60</f>
        <v>-40.00080367499999</v>
      </c>
      <c r="AX61" s="42">
        <f>AX57-AX60</f>
        <v>-40.00080367499999</v>
      </c>
      <c r="BD61" s="42">
        <f>BD57-BD60</f>
        <v>-44.000247349999995</v>
      </c>
    </row>
    <row r="62">
      <c r="A62" s="3" t="inlineStr">
        <is>
          <t>First-order contribution margin before ads</t>
        </is>
      </c>
      <c r="B62" s="34">
        <f>IFERROR(B57/B58,0)</f>
        <v>0.09533532822794158</v>
      </c>
      <c r="H62" s="34">
        <f>IFERROR(H57/H58,0)</f>
        <v>-0.5253556213006968</v>
      </c>
      <c r="N62" s="34">
        <f>IFERROR(N57/N58,0)</f>
        <v>0.09533532822794158</v>
      </c>
      <c r="T62" s="34">
        <f>IFERROR(T57/T58,0)</f>
        <v>0.48792744419028145</v>
      </c>
      <c r="Z62" s="34">
        <f>IFERROR(Z57/Z58,0)</f>
        <v>0.09533532822794158</v>
      </c>
      <c r="AF62" s="34">
        <f>IFERROR(AF57/AF58,0)</f>
        <v>0.04455204727390107</v>
      </c>
      <c r="AL62" s="34">
        <f>IFERROR(AL57/AL58,0)</f>
        <v>0.05254195452631956</v>
      </c>
      <c r="AR62" s="34">
        <f>IFERROR(AR57/AR58,0)</f>
        <v>0.09533532822794158</v>
      </c>
      <c r="AX62" s="34">
        <f>IFERROR(AX57/AX58,0)</f>
        <v>0.09533532822794158</v>
      </c>
      <c r="BD62" s="34">
        <f>IFERROR(BD57/BD58,0)</f>
        <v>0.020039721539311182</v>
      </c>
    </row>
    <row r="63">
      <c r="A63" s="3" t="inlineStr">
        <is>
          <t>First-order contribution - subscribers</t>
        </is>
      </c>
      <c r="B63" s="26">
        <f>B57</f>
        <v>4.999196325000007</v>
      </c>
      <c r="H63" s="26">
        <f>H57</f>
        <v>-23.056980875000008</v>
      </c>
      <c r="N63" s="26">
        <f>N57</f>
        <v>4.999196325000007</v>
      </c>
      <c r="T63" s="26">
        <f>T57</f>
        <v>32.29912199444445</v>
      </c>
      <c r="Z63" s="26">
        <f>Z57</f>
        <v>4.999196325000007</v>
      </c>
      <c r="AF63" s="26">
        <f>AF57</f>
        <v>2.3362213687500066</v>
      </c>
      <c r="AL63" s="26">
        <f>AL57</f>
        <v>2.755196325000009</v>
      </c>
      <c r="AR63" s="26">
        <f>AR57</f>
        <v>4.999196325000007</v>
      </c>
      <c r="AX63" s="26">
        <f>AX57</f>
        <v>4.999196325000007</v>
      </c>
      <c r="BD63" s="26">
        <f>BD57</f>
        <v>0.9997526500000031</v>
      </c>
    </row>
    <row r="64">
      <c r="A64" s="2" t="inlineStr">
        <is>
          <t>Notes: (a) at test stage the supplier ships free, there is no 3PL and returns to China are written off, so refunds keep the product cost. Litter-mat cross-sell is applied only at private-label stage (conservative). Cohort first-order mix = (b) and (c) weighted by cross-sell attach, or (a) when Inputs!D4 = 1.</t>
        </is>
      </c>
      <c r="B64" s="26">
        <f>B57</f>
        <v>4.999196325000007</v>
      </c>
      <c r="H64" s="26">
        <f>H57</f>
        <v>-23.056980875000008</v>
      </c>
      <c r="N64" s="26">
        <f>N57</f>
        <v>4.999196325000007</v>
      </c>
      <c r="T64" s="26">
        <f>T57</f>
        <v>32.29912199444445</v>
      </c>
      <c r="Z64" s="26">
        <f>Z57</f>
        <v>4.999196325000007</v>
      </c>
      <c r="AF64" s="26">
        <f>AF57</f>
        <v>2.3362213687500066</v>
      </c>
      <c r="AL64" s="26">
        <f>AL57</f>
        <v>2.755196325000009</v>
      </c>
      <c r="AR64" s="26">
        <f>AR57</f>
        <v>4.999196325000007</v>
      </c>
      <c r="AX64" s="26">
        <f>AX57</f>
        <v>4.999196325000007</v>
      </c>
      <c r="BD64" s="26">
        <f>BD57</f>
        <v>0.9997526500000031</v>
      </c>
    </row>
  </sheetData>
  <mergeCells count="10">
    <mergeCell ref="B5:F5"/>
    <mergeCell ref="AF5:AJ5"/>
    <mergeCell ref="T5:X5"/>
    <mergeCell ref="AX5:BB5"/>
    <mergeCell ref="Z5:AD5"/>
    <mergeCell ref="H5:L5"/>
    <mergeCell ref="AL5:AP5"/>
    <mergeCell ref="AR5:AV5"/>
    <mergeCell ref="BD5:BH5"/>
    <mergeCell ref="N5:R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83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5" t="inlineStr">
        <is>
          <t>Cat_Cohort: 24-month cohort of 100 acquired customers (BASE CASE)</t>
        </is>
      </c>
    </row>
    <row r="2">
      <c r="A2" s="2" t="inlineStr">
        <is>
          <t>LTV = contribution profit (never revenue). First-order profitability is reported separately so subscription renewals cannot hide an unprofitable first order. Segments: one-time only, occasional repeat buyers (one-time filter packs), filter subscribers (90-day).</t>
        </is>
      </c>
    </row>
    <row r="4">
      <c r="A4" s="43" t="str">
        <f>"SELECTED SCENARIO COHORT: "&amp;Inputs!$E$3&amp;" | stage: "&amp;Inputs!$E$4</f>
        <v>SELECTED SCENARIO COHORT: Base | stage: Private label (OEM + 3PL, CPA months 4-12)</v>
      </c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</row>
    <row r="6">
      <c r="A6" s="3" t="inlineStr">
        <is>
          <t>Customers acquired (N)</t>
        </is>
      </c>
      <c r="B6" s="12">
        <f>Inputs!$G$9</f>
        <v>100.0</v>
      </c>
    </row>
    <row r="7">
      <c r="A7" s="3" t="inlineStr">
        <is>
          <t>Subscription attach (after any shock)</t>
        </is>
      </c>
      <c r="B7" s="34">
        <f>MIN(1,Inputs!$G$133*Cat_UnitEcon!$B$10)</f>
        <v>0.2</v>
      </c>
    </row>
    <row r="8">
      <c r="A8" s="3" t="inlineStr">
        <is>
          <t>Non-subscriber 12-month repeat rate</t>
        </is>
      </c>
      <c r="B8" s="45">
        <f>Inputs!$G$139</f>
        <v>0.2</v>
      </c>
    </row>
    <row r="9">
      <c r="A9" s="3" t="inlineStr">
        <is>
          <t>Segment: subscribers</t>
        </is>
      </c>
      <c r="B9" s="46">
        <f>$B$6*$B$7</f>
        <v>20.0</v>
      </c>
    </row>
    <row r="10">
      <c r="A10" s="3" t="inlineStr">
        <is>
          <t>Segment: occasional repeat buyers</t>
        </is>
      </c>
      <c r="B10" s="46">
        <f>$B$6*(1-$B$7)*$B$8</f>
        <v>16.0</v>
      </c>
    </row>
    <row r="11">
      <c r="A11" s="3" t="inlineStr">
        <is>
          <t>Segment: one-time only</t>
        </is>
      </c>
      <c r="B11" s="46">
        <f>$B$6-$B$9-$B$10</f>
        <v>64.0</v>
      </c>
    </row>
    <row r="12">
      <c r="A12" s="3" t="inlineStr">
        <is>
          <t>First-order contribution before ads, per customer (mix)</t>
        </is>
      </c>
      <c r="B12" s="39">
        <f>Cat_UnitEcon!$B$57</f>
        <v>4.999196325000007</v>
      </c>
    </row>
    <row r="13">
      <c r="A13" s="3" t="inlineStr">
        <is>
          <t>Paid CAC per new customer</t>
        </is>
      </c>
      <c r="B13" s="39">
        <f>Cat_UnitEcon!$B$60</f>
        <v>45.0</v>
      </c>
    </row>
    <row r="14">
      <c r="A14" s="3" t="inlineStr">
        <is>
          <t>Contribution per subscription renewal order</t>
        </is>
      </c>
      <c r="B14" s="39">
        <f>Cat_UnitEcon!$E$50</f>
        <v>-3.419322000000001</v>
      </c>
    </row>
    <row r="15">
      <c r="A15" s="3" t="inlineStr">
        <is>
          <t>Contribution per occasional repeat order</t>
        </is>
      </c>
      <c r="B15" s="39">
        <f>Cat_UnitEcon!$F$50</f>
        <v>-1.7916799999999995</v>
      </c>
    </row>
    <row r="16">
      <c r="A16" s="3" t="inlineStr">
        <is>
          <t>Churn before first renewal (incl. involuntary)</t>
        </is>
      </c>
      <c r="B16" s="34">
        <f>1-(1-MIN(1,Inputs!$G$135*Cat_UnitEcon!$B$11))*(1-MIN(1,Inputs!$G$137*Cat_UnitEcon!$B$11))^$B$18</f>
        <v>0.26564000725000003</v>
      </c>
    </row>
    <row r="17">
      <c r="A17" s="3" t="inlineStr">
        <is>
          <t>Churn per later cycle (incl. involuntary)</t>
        </is>
      </c>
      <c r="B17" s="34">
        <f>1-(1-MIN(1,Inputs!$G$136*Cat_UnitEcon!$B$11))*(1-MIN(1,Inputs!$G$137*Cat_UnitEcon!$B$11))^$B$18</f>
        <v>0.16772534154999996</v>
      </c>
    </row>
    <row r="18">
      <c r="A18" s="3" t="inlineStr">
        <is>
          <t>Renewal cadence (months)</t>
        </is>
      </c>
      <c r="B18" s="12">
        <f>Inputs!$G$134</f>
        <v>3.0</v>
      </c>
    </row>
    <row r="19">
      <c r="A19" s="3" t="inlineStr">
        <is>
          <t>Occasional: month of first repeat</t>
        </is>
      </c>
      <c r="B19" s="12">
        <f>Inputs!$G$140</f>
        <v>4.0</v>
      </c>
    </row>
    <row r="20">
      <c r="A20" s="3" t="inlineStr">
        <is>
          <t>Occasional: months between orders</t>
        </is>
      </c>
      <c r="B20" s="12">
        <f>Inputs!$G$141</f>
        <v>4.0</v>
      </c>
    </row>
    <row r="21">
      <c r="A21" s="3" t="inlineStr">
        <is>
          <t>Occasional: probability of each further order</t>
        </is>
      </c>
      <c r="B21" s="45">
        <f>Inputs!$G$142</f>
        <v>0.6</v>
      </c>
    </row>
    <row r="22">
      <c r="A22" s="3" t="inlineStr">
        <is>
          <t>First-order contribution - subscriber</t>
        </is>
      </c>
      <c r="B22" s="39">
        <f>Cat_UnitEcon!$B$63</f>
        <v>4.999196325000007</v>
      </c>
    </row>
    <row r="23">
      <c r="A23" s="3" t="inlineStr">
        <is>
          <t>First-order contribution - non-subscriber</t>
        </is>
      </c>
      <c r="B23" s="39">
        <f>Cat_UnitEcon!$B$64</f>
        <v>4.999196325000007</v>
      </c>
    </row>
    <row r="24">
      <c r="A24" s="3" t="inlineStr">
        <is>
          <t>First-order gross revenue (mix) - reference</t>
        </is>
      </c>
      <c r="B24" s="39">
        <f>Cat_UnitEcon!$B$59</f>
        <v>54.9875</v>
      </c>
    </row>
    <row r="25">
      <c r="A25" s="3" t="inlineStr">
        <is>
          <t>Renewal order gross revenue - reference</t>
        </is>
      </c>
      <c r="B25" s="39">
        <f>Cat_UnitEcon!$E$35</f>
        <v>15.290999999999999</v>
      </c>
    </row>
    <row r="26">
      <c r="A26" s="3" t="inlineStr">
        <is>
          <t>Occasional order gross revenue - reference</t>
        </is>
      </c>
      <c r="B26" s="39">
        <f>Cat_UnitEcon!$F$35</f>
        <v>16.99</v>
      </c>
    </row>
    <row r="28">
      <c r="A28" s="4" t="inlineStr">
        <is>
          <t>Month</t>
        </is>
      </c>
      <c r="B28" s="4" t="inlineStr">
        <is>
          <t>Total 1-24</t>
        </is>
      </c>
      <c r="C28" s="47" t="n">
        <v>1</v>
      </c>
      <c r="D28" s="47" t="n">
        <v>2</v>
      </c>
      <c r="E28" s="47" t="n">
        <v>3</v>
      </c>
      <c r="F28" s="47" t="n">
        <v>4</v>
      </c>
      <c r="G28" s="47" t="n">
        <v>5</v>
      </c>
      <c r="H28" s="47" t="n">
        <v>6</v>
      </c>
      <c r="I28" s="47" t="n">
        <v>7</v>
      </c>
      <c r="J28" s="47" t="n">
        <v>8</v>
      </c>
      <c r="K28" s="47" t="n">
        <v>9</v>
      </c>
      <c r="L28" s="47" t="n">
        <v>10</v>
      </c>
      <c r="M28" s="47" t="n">
        <v>11</v>
      </c>
      <c r="N28" s="47" t="n">
        <v>12</v>
      </c>
      <c r="O28" s="47" t="n">
        <v>13</v>
      </c>
      <c r="P28" s="47" t="n">
        <v>14</v>
      </c>
      <c r="Q28" s="47" t="n">
        <v>15</v>
      </c>
      <c r="R28" s="47" t="n">
        <v>16</v>
      </c>
      <c r="S28" s="47" t="n">
        <v>17</v>
      </c>
      <c r="T28" s="47" t="n">
        <v>18</v>
      </c>
      <c r="U28" s="47" t="n">
        <v>19</v>
      </c>
      <c r="V28" s="47" t="n">
        <v>20</v>
      </c>
      <c r="W28" s="47" t="n">
        <v>21</v>
      </c>
      <c r="X28" s="47" t="n">
        <v>22</v>
      </c>
      <c r="Y28" s="47" t="n">
        <v>23</v>
      </c>
      <c r="Z28" s="47" t="n">
        <v>24</v>
      </c>
    </row>
    <row r="29">
      <c r="A29" s="3" t="inlineStr">
        <is>
          <t>Subscription renewal orders (paying subscribers)</t>
        </is>
      </c>
      <c r="B29" s="48">
        <f>SUM(C29:Z29)</f>
        <v>63.345135726058</v>
      </c>
      <c r="C29" s="46">
        <f>IF(AND(C$28&gt;1,MOD(C$28-1,$B$18)=0),$B$9*(1-$B$16)*(1-$B$17)^((C$28-1)/$B$18-1),0)</f>
        <v>0.0</v>
      </c>
      <c r="D29" s="46">
        <f>IF(AND(D$28&gt;1,MOD(D$28-1,$B$18)=0),$B$9*(1-$B$16)*(1-$B$17)^((D$28-1)/$B$18-1),0)</f>
        <v>0.0</v>
      </c>
      <c r="E29" s="46">
        <f>IF(AND(E$28&gt;1,MOD(E$28-1,$B$18)=0),$B$9*(1-$B$16)*(1-$B$17)^((E$28-1)/$B$18-1),0)</f>
        <v>0.0</v>
      </c>
      <c r="F29" s="46">
        <f>IF(AND(F$28&gt;1,MOD(F$28-1,$B$18)=0),$B$9*(1-$B$16)*(1-$B$17)^((F$28-1)/$B$18-1),0)</f>
        <v>14.687199855</v>
      </c>
      <c r="G29" s="46">
        <f>IF(AND(G$28&gt;1,MOD(G$28-1,$B$18)=0),$B$9*(1-$B$16)*(1-$B$17)^((G$28-1)/$B$18-1),0)</f>
        <v>0.0</v>
      </c>
      <c r="H29" s="46">
        <f>IF(AND(H$28&gt;1,MOD(H$28-1,$B$18)=0),$B$9*(1-$B$16)*(1-$B$17)^((H$28-1)/$B$18-1),0)</f>
        <v>0.0</v>
      </c>
      <c r="I29" s="46">
        <f>IF(AND(I$28&gt;1,MOD(I$28-1,$B$18)=0),$B$9*(1-$B$16)*(1-$B$17)^((I$28-1)/$B$18-1),0)</f>
        <v>12.223784242907014</v>
      </c>
      <c r="J29" s="46">
        <f>IF(AND(J$28&gt;1,MOD(J$28-1,$B$18)=0),$B$9*(1-$B$16)*(1-$B$17)^((J$28-1)/$B$18-1),0)</f>
        <v>0.0</v>
      </c>
      <c r="K29" s="46">
        <f>IF(AND(K$28&gt;1,MOD(K$28-1,$B$18)=0),$B$9*(1-$B$16)*(1-$B$17)^((K$28-1)/$B$18-1),0)</f>
        <v>0.0</v>
      </c>
      <c r="L29" s="46">
        <f>IF(AND(L$28&gt;1,MOD(L$28-1,$B$18)=0),$B$9*(1-$B$16)*(1-$B$17)^((L$28-1)/$B$18-1),0)</f>
        <v>10.173545855731927</v>
      </c>
      <c r="M29" s="46">
        <f>IF(AND(M$28&gt;1,MOD(M$28-1,$B$18)=0),$B$9*(1-$B$16)*(1-$B$17)^((M$28-1)/$B$18-1),0)</f>
        <v>0.0</v>
      </c>
      <c r="N29" s="46">
        <f>IF(AND(N$28&gt;1,MOD(N$28-1,$B$18)=0),$B$9*(1-$B$16)*(1-$B$17)^((N$28-1)/$B$18-1),0)</f>
        <v>0.0</v>
      </c>
      <c r="O29" s="46">
        <f>IF(AND(O$28&gt;1,MOD(O$28-1,$B$18)=0),$B$9*(1-$B$16)*(1-$B$17)^((O$28-1)/$B$18-1),0)</f>
        <v>8.467184402304705</v>
      </c>
      <c r="P29" s="46">
        <f>IF(AND(P$28&gt;1,MOD(P$28-1,$B$18)=0),$B$9*(1-$B$16)*(1-$B$17)^((P$28-1)/$B$18-1),0)</f>
        <v>0.0</v>
      </c>
      <c r="Q29" s="46">
        <f>IF(AND(Q$28&gt;1,MOD(Q$28-1,$B$18)=0),$B$9*(1-$B$16)*(1-$B$17)^((Q$28-1)/$B$18-1),0)</f>
        <v>0.0</v>
      </c>
      <c r="R29" s="46">
        <f>IF(AND(R$28&gt;1,MOD(R$28-1,$B$18)=0),$B$9*(1-$B$16)*(1-$B$17)^((R$28-1)/$B$18-1),0)</f>
        <v>7.047023006461314</v>
      </c>
      <c r="S29" s="46">
        <f>IF(AND(S$28&gt;1,MOD(S$28-1,$B$18)=0),$B$9*(1-$B$16)*(1-$B$17)^((S$28-1)/$B$18-1),0)</f>
        <v>0.0</v>
      </c>
      <c r="T29" s="46">
        <f>IF(AND(T$28&gt;1,MOD(T$28-1,$B$18)=0),$B$9*(1-$B$16)*(1-$B$17)^((T$28-1)/$B$18-1),0)</f>
        <v>0.0</v>
      </c>
      <c r="U29" s="46">
        <f>IF(AND(U$28&gt;1,MOD(U$28-1,$B$18)=0),$B$9*(1-$B$16)*(1-$B$17)^((U$28-1)/$B$18-1),0)</f>
        <v>5.865058665791883</v>
      </c>
      <c r="V29" s="46">
        <f>IF(AND(V$28&gt;1,MOD(V$28-1,$B$18)=0),$B$9*(1-$B$16)*(1-$B$17)^((V$28-1)/$B$18-1),0)</f>
        <v>0.0</v>
      </c>
      <c r="W29" s="46">
        <f>IF(AND(W$28&gt;1,MOD(W$28-1,$B$18)=0),$B$9*(1-$B$16)*(1-$B$17)^((W$28-1)/$B$18-1),0)</f>
        <v>0.0</v>
      </c>
      <c r="X29" s="46">
        <f>IF(AND(X$28&gt;1,MOD(X$28-1,$B$18)=0),$B$9*(1-$B$16)*(1-$B$17)^((X$28-1)/$B$18-1),0)</f>
        <v>4.8813396978611525</v>
      </c>
      <c r="Y29" s="46">
        <f>IF(AND(Y$28&gt;1,MOD(Y$28-1,$B$18)=0),$B$9*(1-$B$16)*(1-$B$17)^((Y$28-1)/$B$18-1),0)</f>
        <v>0.0</v>
      </c>
      <c r="Z29" s="46">
        <f>IF(AND(Z$28&gt;1,MOD(Z$28-1,$B$18)=0),$B$9*(1-$B$16)*(1-$B$17)^((Z$28-1)/$B$18-1),0)</f>
        <v>0.0</v>
      </c>
    </row>
    <row r="30">
      <c r="A30" s="3" t="inlineStr">
        <is>
          <t>Occasional repeat orders</t>
        </is>
      </c>
      <c r="B30" s="48">
        <f>SUM(C30:Z30)</f>
        <v>38.133759999999995</v>
      </c>
      <c r="C30" s="46">
        <f>IF(AND(C$28&gt;=$B$19,MOD(C$28-$B$19,$B$20)=0),$B$10*$B$21^((C$28-$B$19)/$B$20),0)</f>
        <v>0.0</v>
      </c>
      <c r="D30" s="46">
        <f>IF(AND(D$28&gt;=$B$19,MOD(D$28-$B$19,$B$20)=0),$B$10*$B$21^((D$28-$B$19)/$B$20),0)</f>
        <v>0.0</v>
      </c>
      <c r="E30" s="46">
        <f>IF(AND(E$28&gt;=$B$19,MOD(E$28-$B$19,$B$20)=0),$B$10*$B$21^((E$28-$B$19)/$B$20),0)</f>
        <v>0.0</v>
      </c>
      <c r="F30" s="46">
        <f>IF(AND(F$28&gt;=$B$19,MOD(F$28-$B$19,$B$20)=0),$B$10*$B$21^((F$28-$B$19)/$B$20),0)</f>
        <v>16.0</v>
      </c>
      <c r="G30" s="46">
        <f>IF(AND(G$28&gt;=$B$19,MOD(G$28-$B$19,$B$20)=0),$B$10*$B$21^((G$28-$B$19)/$B$20),0)</f>
        <v>0.0</v>
      </c>
      <c r="H30" s="46">
        <f>IF(AND(H$28&gt;=$B$19,MOD(H$28-$B$19,$B$20)=0),$B$10*$B$21^((H$28-$B$19)/$B$20),0)</f>
        <v>0.0</v>
      </c>
      <c r="I30" s="46">
        <f>IF(AND(I$28&gt;=$B$19,MOD(I$28-$B$19,$B$20)=0),$B$10*$B$21^((I$28-$B$19)/$B$20),0)</f>
        <v>0.0</v>
      </c>
      <c r="J30" s="46">
        <f>IF(AND(J$28&gt;=$B$19,MOD(J$28-$B$19,$B$20)=0),$B$10*$B$21^((J$28-$B$19)/$B$20),0)</f>
        <v>9.6</v>
      </c>
      <c r="K30" s="46">
        <f>IF(AND(K$28&gt;=$B$19,MOD(K$28-$B$19,$B$20)=0),$B$10*$B$21^((K$28-$B$19)/$B$20),0)</f>
        <v>0.0</v>
      </c>
      <c r="L30" s="46">
        <f>IF(AND(L$28&gt;=$B$19,MOD(L$28-$B$19,$B$20)=0),$B$10*$B$21^((L$28-$B$19)/$B$20),0)</f>
        <v>0.0</v>
      </c>
      <c r="M30" s="46">
        <f>IF(AND(M$28&gt;=$B$19,MOD(M$28-$B$19,$B$20)=0),$B$10*$B$21^((M$28-$B$19)/$B$20),0)</f>
        <v>0.0</v>
      </c>
      <c r="N30" s="46">
        <f>IF(AND(N$28&gt;=$B$19,MOD(N$28-$B$19,$B$20)=0),$B$10*$B$21^((N$28-$B$19)/$B$20),0)</f>
        <v>5.76</v>
      </c>
      <c r="O30" s="46">
        <f>IF(AND(O$28&gt;=$B$19,MOD(O$28-$B$19,$B$20)=0),$B$10*$B$21^((O$28-$B$19)/$B$20),0)</f>
        <v>0.0</v>
      </c>
      <c r="P30" s="46">
        <f>IF(AND(P$28&gt;=$B$19,MOD(P$28-$B$19,$B$20)=0),$B$10*$B$21^((P$28-$B$19)/$B$20),0)</f>
        <v>0.0</v>
      </c>
      <c r="Q30" s="46">
        <f>IF(AND(Q$28&gt;=$B$19,MOD(Q$28-$B$19,$B$20)=0),$B$10*$B$21^((Q$28-$B$19)/$B$20),0)</f>
        <v>0.0</v>
      </c>
      <c r="R30" s="46">
        <f>IF(AND(R$28&gt;=$B$19,MOD(R$28-$B$19,$B$20)=0),$B$10*$B$21^((R$28-$B$19)/$B$20),0)</f>
        <v>3.4559999999999995</v>
      </c>
      <c r="S30" s="46">
        <f>IF(AND(S$28&gt;=$B$19,MOD(S$28-$B$19,$B$20)=0),$B$10*$B$21^((S$28-$B$19)/$B$20),0)</f>
        <v>0.0</v>
      </c>
      <c r="T30" s="46">
        <f>IF(AND(T$28&gt;=$B$19,MOD(T$28-$B$19,$B$20)=0),$B$10*$B$21^((T$28-$B$19)/$B$20),0)</f>
        <v>0.0</v>
      </c>
      <c r="U30" s="46">
        <f>IF(AND(U$28&gt;=$B$19,MOD(U$28-$B$19,$B$20)=0),$B$10*$B$21^((U$28-$B$19)/$B$20),0)</f>
        <v>0.0</v>
      </c>
      <c r="V30" s="46">
        <f>IF(AND(V$28&gt;=$B$19,MOD(V$28-$B$19,$B$20)=0),$B$10*$B$21^((V$28-$B$19)/$B$20),0)</f>
        <v>2.0736</v>
      </c>
      <c r="W30" s="46">
        <f>IF(AND(W$28&gt;=$B$19,MOD(W$28-$B$19,$B$20)=0),$B$10*$B$21^((W$28-$B$19)/$B$20),0)</f>
        <v>0.0</v>
      </c>
      <c r="X30" s="46">
        <f>IF(AND(X$28&gt;=$B$19,MOD(X$28-$B$19,$B$20)=0),$B$10*$B$21^((X$28-$B$19)/$B$20),0)</f>
        <v>0.0</v>
      </c>
      <c r="Y30" s="46">
        <f>IF(AND(Y$28&gt;=$B$19,MOD(Y$28-$B$19,$B$20)=0),$B$10*$B$21^((Y$28-$B$19)/$B$20),0)</f>
        <v>0.0</v>
      </c>
      <c r="Z30" s="46">
        <f>IF(AND(Z$28&gt;=$B$19,MOD(Z$28-$B$19,$B$20)=0),$B$10*$B$21^((Z$28-$B$19)/$B$20),0)</f>
        <v>1.2441599999999997</v>
      </c>
    </row>
    <row r="31">
      <c r="A31" s="3" t="inlineStr">
        <is>
          <t>Contribution - one-time-only segment</t>
        </is>
      </c>
      <c r="B31" s="30">
        <f>SUM(C31:Z31)</f>
        <v>319.94856480000044</v>
      </c>
      <c r="C31" s="33">
        <f>IF(C$28=1,$B$11*$B$23,0)</f>
        <v>319.94856480000044</v>
      </c>
      <c r="D31" s="33">
        <f>IF(D$28=1,$B$11*$B$23,0)</f>
        <v>0.0</v>
      </c>
      <c r="E31" s="33">
        <f>IF(E$28=1,$B$11*$B$23,0)</f>
        <v>0.0</v>
      </c>
      <c r="F31" s="33">
        <f>IF(F$28=1,$B$11*$B$23,0)</f>
        <v>0.0</v>
      </c>
      <c r="G31" s="33">
        <f>IF(G$28=1,$B$11*$B$23,0)</f>
        <v>0.0</v>
      </c>
      <c r="H31" s="33">
        <f>IF(H$28=1,$B$11*$B$23,0)</f>
        <v>0.0</v>
      </c>
      <c r="I31" s="33">
        <f>IF(I$28=1,$B$11*$B$23,0)</f>
        <v>0.0</v>
      </c>
      <c r="J31" s="33">
        <f>IF(J$28=1,$B$11*$B$23,0)</f>
        <v>0.0</v>
      </c>
      <c r="K31" s="33">
        <f>IF(K$28=1,$B$11*$B$23,0)</f>
        <v>0.0</v>
      </c>
      <c r="L31" s="33">
        <f>IF(L$28=1,$B$11*$B$23,0)</f>
        <v>0.0</v>
      </c>
      <c r="M31" s="33">
        <f>IF(M$28=1,$B$11*$B$23,0)</f>
        <v>0.0</v>
      </c>
      <c r="N31" s="33">
        <f>IF(N$28=1,$B$11*$B$23,0)</f>
        <v>0.0</v>
      </c>
      <c r="O31" s="33">
        <f>IF(O$28=1,$B$11*$B$23,0)</f>
        <v>0.0</v>
      </c>
      <c r="P31" s="33">
        <f>IF(P$28=1,$B$11*$B$23,0)</f>
        <v>0.0</v>
      </c>
      <c r="Q31" s="33">
        <f>IF(Q$28=1,$B$11*$B$23,0)</f>
        <v>0.0</v>
      </c>
      <c r="R31" s="33">
        <f>IF(R$28=1,$B$11*$B$23,0)</f>
        <v>0.0</v>
      </c>
      <c r="S31" s="33">
        <f>IF(S$28=1,$B$11*$B$23,0)</f>
        <v>0.0</v>
      </c>
      <c r="T31" s="33">
        <f>IF(T$28=1,$B$11*$B$23,0)</f>
        <v>0.0</v>
      </c>
      <c r="U31" s="33">
        <f>IF(U$28=1,$B$11*$B$23,0)</f>
        <v>0.0</v>
      </c>
      <c r="V31" s="33">
        <f>IF(V$28=1,$B$11*$B$23,0)</f>
        <v>0.0</v>
      </c>
      <c r="W31" s="33">
        <f>IF(W$28=1,$B$11*$B$23,0)</f>
        <v>0.0</v>
      </c>
      <c r="X31" s="33">
        <f>IF(X$28=1,$B$11*$B$23,0)</f>
        <v>0.0</v>
      </c>
      <c r="Y31" s="33">
        <f>IF(Y$28=1,$B$11*$B$23,0)</f>
        <v>0.0</v>
      </c>
      <c r="Z31" s="33">
        <f>IF(Z$28=1,$B$11*$B$23,0)</f>
        <v>0.0</v>
      </c>
    </row>
    <row r="32">
      <c r="A32" s="3" t="inlineStr">
        <is>
          <t>Contribution - occasional repeat segment</t>
        </is>
      </c>
      <c r="B32" s="30">
        <f>SUM(C32:Z32)</f>
        <v>11.663646083200131</v>
      </c>
      <c r="C32" s="33">
        <f>IF(C$28=1,$B$10*$B$23,0)+C30*$B$15</f>
        <v>79.98714120000011</v>
      </c>
      <c r="D32" s="33">
        <f>IF(D$28=1,$B$10*$B$23,0)+D30*$B$15</f>
        <v>0.0</v>
      </c>
      <c r="E32" s="33">
        <f>IF(E$28=1,$B$10*$B$23,0)+E30*$B$15</f>
        <v>0.0</v>
      </c>
      <c r="F32" s="33">
        <f>IF(F$28=1,$B$10*$B$23,0)+F30*$B$15</f>
        <v>-28.666879999999992</v>
      </c>
      <c r="G32" s="33">
        <f>IF(G$28=1,$B$10*$B$23,0)+G30*$B$15</f>
        <v>0.0</v>
      </c>
      <c r="H32" s="33">
        <f>IF(H$28=1,$B$10*$B$23,0)+H30*$B$15</f>
        <v>0.0</v>
      </c>
      <c r="I32" s="33">
        <f>IF(I$28=1,$B$10*$B$23,0)+I30*$B$15</f>
        <v>0.0</v>
      </c>
      <c r="J32" s="33">
        <f>IF(J$28=1,$B$10*$B$23,0)+J30*$B$15</f>
        <v>-17.200127999999996</v>
      </c>
      <c r="K32" s="33">
        <f>IF(K$28=1,$B$10*$B$23,0)+K30*$B$15</f>
        <v>0.0</v>
      </c>
      <c r="L32" s="33">
        <f>IF(L$28=1,$B$10*$B$23,0)+L30*$B$15</f>
        <v>0.0</v>
      </c>
      <c r="M32" s="33">
        <f>IF(M$28=1,$B$10*$B$23,0)+M30*$B$15</f>
        <v>0.0</v>
      </c>
      <c r="N32" s="33">
        <f>IF(N$28=1,$B$10*$B$23,0)+N30*$B$15</f>
        <v>-10.320076799999997</v>
      </c>
      <c r="O32" s="33">
        <f>IF(O$28=1,$B$10*$B$23,0)+O30*$B$15</f>
        <v>0.0</v>
      </c>
      <c r="P32" s="33">
        <f>IF(P$28=1,$B$10*$B$23,0)+P30*$B$15</f>
        <v>0.0</v>
      </c>
      <c r="Q32" s="33">
        <f>IF(Q$28=1,$B$10*$B$23,0)+Q30*$B$15</f>
        <v>0.0</v>
      </c>
      <c r="R32" s="33">
        <f>IF(R$28=1,$B$10*$B$23,0)+R30*$B$15</f>
        <v>-6.192046079999997</v>
      </c>
      <c r="S32" s="33">
        <f>IF(S$28=1,$B$10*$B$23,0)+S30*$B$15</f>
        <v>0.0</v>
      </c>
      <c r="T32" s="33">
        <f>IF(T$28=1,$B$10*$B$23,0)+T30*$B$15</f>
        <v>0.0</v>
      </c>
      <c r="U32" s="33">
        <f>IF(U$28=1,$B$10*$B$23,0)+U30*$B$15</f>
        <v>0.0</v>
      </c>
      <c r="V32" s="33">
        <f>IF(V$28=1,$B$10*$B$23,0)+V30*$B$15</f>
        <v>-3.7152276479999986</v>
      </c>
      <c r="W32" s="33">
        <f>IF(W$28=1,$B$10*$B$23,0)+W30*$B$15</f>
        <v>0.0</v>
      </c>
      <c r="X32" s="33">
        <f>IF(X$28=1,$B$10*$B$23,0)+X30*$B$15</f>
        <v>0.0</v>
      </c>
      <c r="Y32" s="33">
        <f>IF(Y$28=1,$B$10*$B$23,0)+Y30*$B$15</f>
        <v>0.0</v>
      </c>
      <c r="Z32" s="33">
        <f>IF(Z$28=1,$B$10*$B$23,0)+Z30*$B$15</f>
        <v>-2.229136588799999</v>
      </c>
    </row>
    <row r="33">
      <c r="A33" s="3" t="inlineStr">
        <is>
          <t>Contribution - subscriber segment</t>
        </is>
      </c>
      <c r="B33" s="30">
        <f>SUM(C33:Z33)</f>
        <v>-116.61348968109601</v>
      </c>
      <c r="C33" s="33">
        <f>IF(C$28=1,$B$9*$B$22,0)+C29*$B$14</f>
        <v>99.98392650000014</v>
      </c>
      <c r="D33" s="33">
        <f>IF(D$28=1,$B$9*$B$22,0)+D29*$B$14</f>
        <v>0.0</v>
      </c>
      <c r="E33" s="33">
        <f>IF(E$28=1,$B$9*$B$22,0)+E29*$B$14</f>
        <v>0.0</v>
      </c>
      <c r="F33" s="33">
        <f>IF(F$28=1,$B$9*$B$22,0)+F29*$B$14</f>
        <v>-50.22026558259832</v>
      </c>
      <c r="G33" s="33">
        <f>IF(G$28=1,$B$9*$B$22,0)+G29*$B$14</f>
        <v>0.0</v>
      </c>
      <c r="H33" s="33">
        <f>IF(H$28=1,$B$9*$B$22,0)+H29*$B$14</f>
        <v>0.0</v>
      </c>
      <c r="I33" s="33">
        <f>IF(I$28=1,$B$9*$B$22,0)+I29*$B$14</f>
        <v>-41.79705438502531</v>
      </c>
      <c r="J33" s="33">
        <f>IF(J$28=1,$B$9*$B$22,0)+J29*$B$14</f>
        <v>0.0</v>
      </c>
      <c r="K33" s="33">
        <f>IF(K$28=1,$B$9*$B$22,0)+K29*$B$14</f>
        <v>0.0</v>
      </c>
      <c r="L33" s="33">
        <f>IF(L$28=1,$B$9*$B$22,0)+L29*$B$14</f>
        <v>-34.786629162513016</v>
      </c>
      <c r="M33" s="33">
        <f>IF(M$28=1,$B$9*$B$22,0)+M29*$B$14</f>
        <v>0.0</v>
      </c>
      <c r="N33" s="33">
        <f>IF(N$28=1,$B$9*$B$22,0)+N29*$B$14</f>
        <v>0.0</v>
      </c>
      <c r="O33" s="33">
        <f>IF(O$28=1,$B$9*$B$22,0)+O29*$B$14</f>
        <v>-28.952029904857337</v>
      </c>
      <c r="P33" s="33">
        <f>IF(P$28=1,$B$9*$B$22,0)+P29*$B$14</f>
        <v>0.0</v>
      </c>
      <c r="Q33" s="33">
        <f>IF(Q$28=1,$B$9*$B$22,0)+Q29*$B$14</f>
        <v>0.0</v>
      </c>
      <c r="R33" s="33">
        <f>IF(R$28=1,$B$9*$B$22,0)+R29*$B$14</f>
        <v>-24.09604080049932</v>
      </c>
      <c r="S33" s="33">
        <f>IF(S$28=1,$B$9*$B$22,0)+S29*$B$14</f>
        <v>0.0</v>
      </c>
      <c r="T33" s="33">
        <f>IF(T$28=1,$B$9*$B$22,0)+T29*$B$14</f>
        <v>0.0</v>
      </c>
      <c r="U33" s="33">
        <f>IF(U$28=1,$B$9*$B$22,0)+U29*$B$14</f>
        <v>-20.054524127232842</v>
      </c>
      <c r="V33" s="33">
        <f>IF(V$28=1,$B$9*$B$22,0)+V29*$B$14</f>
        <v>0.0</v>
      </c>
      <c r="W33" s="33">
        <f>IF(W$28=1,$B$9*$B$22,0)+W29*$B$14</f>
        <v>0.0</v>
      </c>
      <c r="X33" s="33">
        <f>IF(X$28=1,$B$9*$B$22,0)+X29*$B$14</f>
        <v>-16.690872218369996</v>
      </c>
      <c r="Y33" s="33">
        <f>IF(Y$28=1,$B$9*$B$22,0)+Y29*$B$14</f>
        <v>0.0</v>
      </c>
      <c r="Z33" s="33">
        <f>IF(Z$28=1,$B$9*$B$22,0)+Z29*$B$14</f>
        <v>0.0</v>
      </c>
    </row>
    <row r="34">
      <c r="A34" s="16" t="inlineStr">
        <is>
          <t>Total contribution before CAC</t>
        </is>
      </c>
      <c r="B34" s="30">
        <f>SUM(C34:Z34)</f>
        <v>214.99872120210458</v>
      </c>
      <c r="C34" s="30">
        <f>SUM(C31:C33)</f>
        <v>499.9196325000007</v>
      </c>
      <c r="D34" s="30">
        <f>SUM(D31:D33)</f>
        <v>0.0</v>
      </c>
      <c r="E34" s="30">
        <f>SUM(E31:E33)</f>
        <v>0.0</v>
      </c>
      <c r="F34" s="30">
        <f>SUM(F31:F33)</f>
        <v>-78.88714558259832</v>
      </c>
      <c r="G34" s="30">
        <f>SUM(G31:G33)</f>
        <v>0.0</v>
      </c>
      <c r="H34" s="30">
        <f>SUM(H31:H33)</f>
        <v>0.0</v>
      </c>
      <c r="I34" s="30">
        <f>SUM(I31:I33)</f>
        <v>-41.79705438502531</v>
      </c>
      <c r="J34" s="30">
        <f>SUM(J31:J33)</f>
        <v>-17.200127999999996</v>
      </c>
      <c r="K34" s="30">
        <f>SUM(K31:K33)</f>
        <v>0.0</v>
      </c>
      <c r="L34" s="30">
        <f>SUM(L31:L33)</f>
        <v>-34.786629162513016</v>
      </c>
      <c r="M34" s="30">
        <f>SUM(M31:M33)</f>
        <v>0.0</v>
      </c>
      <c r="N34" s="30">
        <f>SUM(N31:N33)</f>
        <v>-10.320076799999997</v>
      </c>
      <c r="O34" s="30">
        <f>SUM(O31:O33)</f>
        <v>-28.952029904857337</v>
      </c>
      <c r="P34" s="30">
        <f>SUM(P31:P33)</f>
        <v>0.0</v>
      </c>
      <c r="Q34" s="30">
        <f>SUM(Q31:Q33)</f>
        <v>0.0</v>
      </c>
      <c r="R34" s="30">
        <f>SUM(R31:R33)</f>
        <v>-30.288086880499318</v>
      </c>
      <c r="S34" s="30">
        <f>SUM(S31:S33)</f>
        <v>0.0</v>
      </c>
      <c r="T34" s="30">
        <f>SUM(T31:T33)</f>
        <v>0.0</v>
      </c>
      <c r="U34" s="30">
        <f>SUM(U31:U33)</f>
        <v>-20.054524127232842</v>
      </c>
      <c r="V34" s="30">
        <f>SUM(V31:V33)</f>
        <v>-3.7152276479999986</v>
      </c>
      <c r="W34" s="30">
        <f>SUM(W31:W33)</f>
        <v>0.0</v>
      </c>
      <c r="X34" s="30">
        <f>SUM(X31:X33)</f>
        <v>-16.690872218369996</v>
      </c>
      <c r="Y34" s="30">
        <f>SUM(Y31:Y33)</f>
        <v>0.0</v>
      </c>
      <c r="Z34" s="30">
        <f>SUM(Z31:Z33)</f>
        <v>-2.229136588799999</v>
      </c>
    </row>
    <row r="35">
      <c r="A35" s="3" t="inlineStr">
        <is>
          <t>CAC (paid, month 1)</t>
        </is>
      </c>
      <c r="B35" s="30">
        <f>SUM(C35:Z35)</f>
        <v>-4500.0</v>
      </c>
      <c r="C35" s="33">
        <f>IF(C$28=1,-$B$6*$B$13,0)</f>
        <v>-4500.0</v>
      </c>
      <c r="D35" s="33">
        <f>IF(D$28=1,-$B$6*$B$13,0)</f>
        <v>0.0</v>
      </c>
      <c r="E35" s="33">
        <f>IF(E$28=1,-$B$6*$B$13,0)</f>
        <v>0.0</v>
      </c>
      <c r="F35" s="33">
        <f>IF(F$28=1,-$B$6*$B$13,0)</f>
        <v>0.0</v>
      </c>
      <c r="G35" s="33">
        <f>IF(G$28=1,-$B$6*$B$13,0)</f>
        <v>0.0</v>
      </c>
      <c r="H35" s="33">
        <f>IF(H$28=1,-$B$6*$B$13,0)</f>
        <v>0.0</v>
      </c>
      <c r="I35" s="33">
        <f>IF(I$28=1,-$B$6*$B$13,0)</f>
        <v>0.0</v>
      </c>
      <c r="J35" s="33">
        <f>IF(J$28=1,-$B$6*$B$13,0)</f>
        <v>0.0</v>
      </c>
      <c r="K35" s="33">
        <f>IF(K$28=1,-$B$6*$B$13,0)</f>
        <v>0.0</v>
      </c>
      <c r="L35" s="33">
        <f>IF(L$28=1,-$B$6*$B$13,0)</f>
        <v>0.0</v>
      </c>
      <c r="M35" s="33">
        <f>IF(M$28=1,-$B$6*$B$13,0)</f>
        <v>0.0</v>
      </c>
      <c r="N35" s="33">
        <f>IF(N$28=1,-$B$6*$B$13,0)</f>
        <v>0.0</v>
      </c>
      <c r="O35" s="33">
        <f>IF(O$28=1,-$B$6*$B$13,0)</f>
        <v>0.0</v>
      </c>
      <c r="P35" s="33">
        <f>IF(P$28=1,-$B$6*$B$13,0)</f>
        <v>0.0</v>
      </c>
      <c r="Q35" s="33">
        <f>IF(Q$28=1,-$B$6*$B$13,0)</f>
        <v>0.0</v>
      </c>
      <c r="R35" s="33">
        <f>IF(R$28=1,-$B$6*$B$13,0)</f>
        <v>0.0</v>
      </c>
      <c r="S35" s="33">
        <f>IF(S$28=1,-$B$6*$B$13,0)</f>
        <v>0.0</v>
      </c>
      <c r="T35" s="33">
        <f>IF(T$28=1,-$B$6*$B$13,0)</f>
        <v>0.0</v>
      </c>
      <c r="U35" s="33">
        <f>IF(U$28=1,-$B$6*$B$13,0)</f>
        <v>0.0</v>
      </c>
      <c r="V35" s="33">
        <f>IF(V$28=1,-$B$6*$B$13,0)</f>
        <v>0.0</v>
      </c>
      <c r="W35" s="33">
        <f>IF(W$28=1,-$B$6*$B$13,0)</f>
        <v>0.0</v>
      </c>
      <c r="X35" s="33">
        <f>IF(X$28=1,-$B$6*$B$13,0)</f>
        <v>0.0</v>
      </c>
      <c r="Y35" s="33">
        <f>IF(Y$28=1,-$B$6*$B$13,0)</f>
        <v>0.0</v>
      </c>
      <c r="Z35" s="33">
        <f>IF(Z$28=1,-$B$6*$B$13,0)</f>
        <v>0.0</v>
      </c>
    </row>
    <row r="36">
      <c r="A36" s="3" t="inlineStr">
        <is>
          <t>Net contribution after CAC</t>
        </is>
      </c>
      <c r="B36" s="30">
        <f>SUM(C36:Z36)</f>
        <v>-4285.001278797896</v>
      </c>
      <c r="C36" s="33">
        <f>C34+C35</f>
        <v>-4000.0803674999993</v>
      </c>
      <c r="D36" s="33">
        <f>D34+D35</f>
        <v>0.0</v>
      </c>
      <c r="E36" s="33">
        <f>E34+E35</f>
        <v>0.0</v>
      </c>
      <c r="F36" s="33">
        <f>F34+F35</f>
        <v>-78.88714558259832</v>
      </c>
      <c r="G36" s="33">
        <f>G34+G35</f>
        <v>0.0</v>
      </c>
      <c r="H36" s="33">
        <f>H34+H35</f>
        <v>0.0</v>
      </c>
      <c r="I36" s="33">
        <f>I34+I35</f>
        <v>-41.79705438502531</v>
      </c>
      <c r="J36" s="33">
        <f>J34+J35</f>
        <v>-17.200127999999996</v>
      </c>
      <c r="K36" s="33">
        <f>K34+K35</f>
        <v>0.0</v>
      </c>
      <c r="L36" s="33">
        <f>L34+L35</f>
        <v>-34.786629162513016</v>
      </c>
      <c r="M36" s="33">
        <f>M34+M35</f>
        <v>0.0</v>
      </c>
      <c r="N36" s="33">
        <f>N34+N35</f>
        <v>-10.320076799999997</v>
      </c>
      <c r="O36" s="33">
        <f>O34+O35</f>
        <v>-28.952029904857337</v>
      </c>
      <c r="P36" s="33">
        <f>P34+P35</f>
        <v>0.0</v>
      </c>
      <c r="Q36" s="33">
        <f>Q34+Q35</f>
        <v>0.0</v>
      </c>
      <c r="R36" s="33">
        <f>R34+R35</f>
        <v>-30.288086880499318</v>
      </c>
      <c r="S36" s="33">
        <f>S34+S35</f>
        <v>0.0</v>
      </c>
      <c r="T36" s="33">
        <f>T34+T35</f>
        <v>0.0</v>
      </c>
      <c r="U36" s="33">
        <f>U34+U35</f>
        <v>-20.054524127232842</v>
      </c>
      <c r="V36" s="33">
        <f>V34+V35</f>
        <v>-3.7152276479999986</v>
      </c>
      <c r="W36" s="33">
        <f>W34+W35</f>
        <v>0.0</v>
      </c>
      <c r="X36" s="33">
        <f>X34+X35</f>
        <v>-16.690872218369996</v>
      </c>
      <c r="Y36" s="33">
        <f>Y34+Y35</f>
        <v>0.0</v>
      </c>
      <c r="Z36" s="33">
        <f>Z34+Z35</f>
        <v>-2.229136588799999</v>
      </c>
    </row>
    <row r="37">
      <c r="A37" s="16" t="inlineStr">
        <is>
          <t>CUMULATIVE contribution after CAC</t>
        </is>
      </c>
      <c r="C37" s="49">
        <f>C36</f>
        <v>-4000.0803674999993</v>
      </c>
      <c r="D37" s="49">
        <f>C37+D36</f>
        <v>-4000.0803674999993</v>
      </c>
      <c r="E37" s="49">
        <f>D37+E36</f>
        <v>-4000.0803674999993</v>
      </c>
      <c r="F37" s="49">
        <f>E37+F36</f>
        <v>-4078.9675130825976</v>
      </c>
      <c r="G37" s="49">
        <f>F37+G36</f>
        <v>-4078.9675130825976</v>
      </c>
      <c r="H37" s="49">
        <f>G37+H36</f>
        <v>-4078.9675130825976</v>
      </c>
      <c r="I37" s="49">
        <f>H37+I36</f>
        <v>-4120.764567467623</v>
      </c>
      <c r="J37" s="49">
        <f>I37+J36</f>
        <v>-4137.964695467624</v>
      </c>
      <c r="K37" s="49">
        <f>J37+K36</f>
        <v>-4137.964695467624</v>
      </c>
      <c r="L37" s="49">
        <f>K37+L36</f>
        <v>-4172.751324630137</v>
      </c>
      <c r="M37" s="49">
        <f>L37+M36</f>
        <v>-4172.751324630137</v>
      </c>
      <c r="N37" s="49">
        <f>M37+N36</f>
        <v>-4183.071401430137</v>
      </c>
      <c r="O37" s="49">
        <f>N37+O36</f>
        <v>-4212.023431334994</v>
      </c>
      <c r="P37" s="49">
        <f>O37+P36</f>
        <v>-4212.023431334994</v>
      </c>
      <c r="Q37" s="49">
        <f>P37+Q36</f>
        <v>-4212.023431334994</v>
      </c>
      <c r="R37" s="49">
        <f>Q37+R36</f>
        <v>-4242.311518215493</v>
      </c>
      <c r="S37" s="49">
        <f>R37+S36</f>
        <v>-4242.311518215493</v>
      </c>
      <c r="T37" s="49">
        <f>S37+T36</f>
        <v>-4242.311518215493</v>
      </c>
      <c r="U37" s="49">
        <f>T37+U36</f>
        <v>-4262.366042342726</v>
      </c>
      <c r="V37" s="49">
        <f>U37+V36</f>
        <v>-4266.0812699907265</v>
      </c>
      <c r="W37" s="49">
        <f>V37+W36</f>
        <v>-4266.0812699907265</v>
      </c>
      <c r="X37" s="49">
        <f>W37+X36</f>
        <v>-4282.772142209096</v>
      </c>
      <c r="Y37" s="49">
        <f>X37+Y36</f>
        <v>-4282.772142209096</v>
      </c>
      <c r="Z37" s="49">
        <f>Y37+Z36</f>
        <v>-4285.001278797897</v>
      </c>
    </row>
    <row r="38">
      <c r="A38" s="3" t="inlineStr">
        <is>
          <t>Cumulative contribution before CAC, per customer</t>
        </is>
      </c>
      <c r="C38" s="26">
        <f>SUM($C34:C34)/$B$6</f>
        <v>4.999196325000007</v>
      </c>
      <c r="D38" s="26">
        <f>SUM($C34:D34)/$B$6</f>
        <v>4.999196325000007</v>
      </c>
      <c r="E38" s="26">
        <f>SUM($C34:E34)/$B$6</f>
        <v>4.999196325000007</v>
      </c>
      <c r="F38" s="26">
        <f>SUM($C34:F34)/$B$6</f>
        <v>4.210324869174023</v>
      </c>
      <c r="G38" s="26">
        <f>SUM($C34:G34)/$B$6</f>
        <v>4.210324869174023</v>
      </c>
      <c r="H38" s="26">
        <f>SUM($C34:H34)/$B$6</f>
        <v>4.210324869174023</v>
      </c>
      <c r="I38" s="26">
        <f>SUM($C34:I34)/$B$6</f>
        <v>3.792354325323771</v>
      </c>
      <c r="J38" s="26">
        <f>SUM($C34:J34)/$B$6</f>
        <v>3.620353045323771</v>
      </c>
      <c r="K38" s="26">
        <f>SUM($C34:K34)/$B$6</f>
        <v>3.620353045323771</v>
      </c>
      <c r="L38" s="26">
        <f>SUM($C34:L34)/$B$6</f>
        <v>3.272486753698641</v>
      </c>
      <c r="M38" s="26">
        <f>SUM($C34:M34)/$B$6</f>
        <v>3.272486753698641</v>
      </c>
      <c r="N38" s="26">
        <f>SUM($C34:N34)/$B$6</f>
        <v>3.1692859856986404</v>
      </c>
      <c r="O38" s="26">
        <f>SUM($C34:O34)/$B$6</f>
        <v>2.879765686650067</v>
      </c>
      <c r="P38" s="26">
        <f>SUM($C34:P34)/$B$6</f>
        <v>2.879765686650067</v>
      </c>
      <c r="Q38" s="26">
        <f>SUM($C34:Q34)/$B$6</f>
        <v>2.879765686650067</v>
      </c>
      <c r="R38" s="26">
        <f>SUM($C34:R34)/$B$6</f>
        <v>2.576884817845074</v>
      </c>
      <c r="S38" s="26">
        <f>SUM($C34:S34)/$B$6</f>
        <v>2.576884817845074</v>
      </c>
      <c r="T38" s="26">
        <f>SUM($C34:T34)/$B$6</f>
        <v>2.576884817845074</v>
      </c>
      <c r="U38" s="26">
        <f>SUM($C34:U34)/$B$6</f>
        <v>2.3763395765727457</v>
      </c>
      <c r="V38" s="26">
        <f>SUM($C34:V34)/$B$6</f>
        <v>2.3391873000927457</v>
      </c>
      <c r="W38" s="26">
        <f>SUM($C34:W34)/$B$6</f>
        <v>2.3391873000927457</v>
      </c>
      <c r="X38" s="26">
        <f>SUM($C34:X34)/$B$6</f>
        <v>2.172278577909046</v>
      </c>
      <c r="Y38" s="26">
        <f>SUM($C34:Y34)/$B$6</f>
        <v>2.172278577909046</v>
      </c>
      <c r="Z38" s="26">
        <f>SUM($C34:Z34)/$B$6</f>
        <v>2.149987212021046</v>
      </c>
    </row>
    <row r="39">
      <c r="A39" s="3" t="inlineStr">
        <is>
          <t>Gross revenue (reference only - NOT used for LTV)</t>
        </is>
      </c>
      <c r="B39" s="30">
        <f>SUM(C39:Z39)</f>
        <v>7115.253052787152</v>
      </c>
      <c r="C39" s="50">
        <f>IF(C$28=1,$B$6*$B$24,0)+C29*$B$25+C30*$B$26</f>
        <v>5498.75</v>
      </c>
      <c r="D39" s="50">
        <f>IF(D$28=1,$B$6*$B$24,0)+D29*$B$25+D30*$B$26</f>
        <v>0.0</v>
      </c>
      <c r="E39" s="50">
        <f>IF(E$28=1,$B$6*$B$24,0)+E29*$B$25+E30*$B$26</f>
        <v>0.0</v>
      </c>
      <c r="F39" s="50">
        <f>IF(F$28=1,$B$6*$B$24,0)+F29*$B$25+F30*$B$26</f>
        <v>496.42197298280496</v>
      </c>
      <c r="G39" s="50">
        <f>IF(G$28=1,$B$6*$B$24,0)+G29*$B$25+G30*$B$26</f>
        <v>0.0</v>
      </c>
      <c r="H39" s="50">
        <f>IF(H$28=1,$B$6*$B$24,0)+H29*$B$25+H30*$B$26</f>
        <v>0.0</v>
      </c>
      <c r="I39" s="50">
        <f>IF(I$28=1,$B$6*$B$24,0)+I29*$B$25+I30*$B$26</f>
        <v>186.91388485829114</v>
      </c>
      <c r="J39" s="50">
        <f>IF(J$28=1,$B$6*$B$24,0)+J29*$B$25+J30*$B$26</f>
        <v>163.10399999999998</v>
      </c>
      <c r="K39" s="50">
        <f>IF(K$28=1,$B$6*$B$24,0)+K29*$B$25+K30*$B$26</f>
        <v>0.0</v>
      </c>
      <c r="L39" s="50">
        <f>IF(L$28=1,$B$6*$B$24,0)+L29*$B$25+L30*$B$26</f>
        <v>155.56368967999688</v>
      </c>
      <c r="M39" s="50">
        <f>IF(M$28=1,$B$6*$B$24,0)+M29*$B$25+M30*$B$26</f>
        <v>0.0</v>
      </c>
      <c r="N39" s="50">
        <f>IF(N$28=1,$B$6*$B$24,0)+N29*$B$25+N30*$B$26</f>
        <v>97.8624</v>
      </c>
      <c r="O39" s="50">
        <f>IF(O$28=1,$B$6*$B$24,0)+O29*$B$25+O30*$B$26</f>
        <v>129.47171669564122</v>
      </c>
      <c r="P39" s="50">
        <f>IF(P$28=1,$B$6*$B$24,0)+P29*$B$25+P30*$B$26</f>
        <v>0.0</v>
      </c>
      <c r="Q39" s="50">
        <f>IF(Q$28=1,$B$6*$B$24,0)+Q29*$B$25+Q30*$B$26</f>
        <v>0.0</v>
      </c>
      <c r="R39" s="50">
        <f>IF(R$28=1,$B$6*$B$24,0)+R29*$B$25+R30*$B$26</f>
        <v>166.47346879179995</v>
      </c>
      <c r="S39" s="50">
        <f>IF(S$28=1,$B$6*$B$24,0)+S29*$B$25+S30*$B$26</f>
        <v>0.0</v>
      </c>
      <c r="T39" s="50">
        <f>IF(T$28=1,$B$6*$B$24,0)+T29*$B$25+T30*$B$26</f>
        <v>0.0</v>
      </c>
      <c r="U39" s="50">
        <f>IF(U$28=1,$B$6*$B$24,0)+U29*$B$25+U30*$B$26</f>
        <v>89.68261205862368</v>
      </c>
      <c r="V39" s="50">
        <f>IF(V$28=1,$B$6*$B$24,0)+V29*$B$25+V30*$B$26</f>
        <v>35.230464</v>
      </c>
      <c r="W39" s="50">
        <f>IF(W$28=1,$B$6*$B$24,0)+W29*$B$25+W30*$B$26</f>
        <v>0.0</v>
      </c>
      <c r="X39" s="50">
        <f>IF(X$28=1,$B$6*$B$24,0)+X29*$B$25+X30*$B$26</f>
        <v>74.64056531999488</v>
      </c>
      <c r="Y39" s="50">
        <f>IF(Y$28=1,$B$6*$B$24,0)+Y29*$B$25+Y30*$B$26</f>
        <v>0.0</v>
      </c>
      <c r="Z39" s="50">
        <f>IF(Z$28=1,$B$6*$B$24,0)+Z29*$B$25+Z30*$B$26</f>
        <v>21.138278399999994</v>
      </c>
    </row>
    <row r="40">
      <c r="A40" s="3" t="inlineStr">
        <is>
          <t>Payback helper (month if cumulative &gt;= 0, else 99)</t>
        </is>
      </c>
      <c r="C40" s="51">
        <f>IF(C37&gt;=0,C$28,99)</f>
        <v>99.0</v>
      </c>
      <c r="D40" s="51">
        <f>IF(D37&gt;=0,D$28,99)</f>
        <v>99.0</v>
      </c>
      <c r="E40" s="51">
        <f>IF(E37&gt;=0,E$28,99)</f>
        <v>99.0</v>
      </c>
      <c r="F40" s="51">
        <f>IF(F37&gt;=0,F$28,99)</f>
        <v>99.0</v>
      </c>
      <c r="G40" s="51">
        <f>IF(G37&gt;=0,G$28,99)</f>
        <v>99.0</v>
      </c>
      <c r="H40" s="51">
        <f>IF(H37&gt;=0,H$28,99)</f>
        <v>99.0</v>
      </c>
      <c r="I40" s="51">
        <f>IF(I37&gt;=0,I$28,99)</f>
        <v>99.0</v>
      </c>
      <c r="J40" s="51">
        <f>IF(J37&gt;=0,J$28,99)</f>
        <v>99.0</v>
      </c>
      <c r="K40" s="51">
        <f>IF(K37&gt;=0,K$28,99)</f>
        <v>99.0</v>
      </c>
      <c r="L40" s="51">
        <f>IF(L37&gt;=0,L$28,99)</f>
        <v>99.0</v>
      </c>
      <c r="M40" s="51">
        <f>IF(M37&gt;=0,M$28,99)</f>
        <v>99.0</v>
      </c>
      <c r="N40" s="51">
        <f>IF(N37&gt;=0,N$28,99)</f>
        <v>99.0</v>
      </c>
      <c r="O40" s="51">
        <f>IF(O37&gt;=0,O$28,99)</f>
        <v>99.0</v>
      </c>
      <c r="P40" s="51">
        <f>IF(P37&gt;=0,P$28,99)</f>
        <v>99.0</v>
      </c>
      <c r="Q40" s="51">
        <f>IF(Q37&gt;=0,Q$28,99)</f>
        <v>99.0</v>
      </c>
      <c r="R40" s="51">
        <f>IF(R37&gt;=0,R$28,99)</f>
        <v>99.0</v>
      </c>
      <c r="S40" s="51">
        <f>IF(S37&gt;=0,S$28,99)</f>
        <v>99.0</v>
      </c>
      <c r="T40" s="51">
        <f>IF(T37&gt;=0,T$28,99)</f>
        <v>99.0</v>
      </c>
      <c r="U40" s="51">
        <f>IF(U37&gt;=0,U$28,99)</f>
        <v>99.0</v>
      </c>
      <c r="V40" s="51">
        <f>IF(V37&gt;=0,V$28,99)</f>
        <v>99.0</v>
      </c>
      <c r="W40" s="51">
        <f>IF(W37&gt;=0,W$28,99)</f>
        <v>99.0</v>
      </c>
      <c r="X40" s="51">
        <f>IF(X37&gt;=0,X$28,99)</f>
        <v>99.0</v>
      </c>
      <c r="Y40" s="51">
        <f>IF(Y37&gt;=0,Y$28,99)</f>
        <v>99.0</v>
      </c>
      <c r="Z40" s="51">
        <f>IF(Z37&gt;=0,Z$28,99)</f>
        <v>99.0</v>
      </c>
    </row>
    <row r="42">
      <c r="A42" s="16" t="inlineStr">
        <is>
          <t>FIRST-ORDER contribution before ads, per customer</t>
        </is>
      </c>
      <c r="B42" s="42">
        <f>$B$12</f>
        <v>4.999196325000007</v>
      </c>
    </row>
    <row r="43">
      <c r="A43" s="16" t="inlineStr">
        <is>
          <t>FIRST-ORDER contribution after CAC, per customer</t>
        </is>
      </c>
      <c r="B43" s="42">
        <f>$B$12-$B$13</f>
        <v>-40.00080367499999</v>
      </c>
    </row>
    <row r="44">
      <c r="A44" s="16" t="inlineStr">
        <is>
          <t>Is the first order profitable after CAC?</t>
        </is>
      </c>
      <c r="B44" s="52" t="str">
        <f>IF(B43&gt;=0,"YES - first order covers CAC","NO - first order loses money after CAC")</f>
        <v>NO - first order loses money after CAC</v>
      </c>
    </row>
    <row r="45">
      <c r="A45" s="3" t="inlineStr">
        <is>
          <t>Payback month (numeric; 99 = none within 24 months)</t>
        </is>
      </c>
      <c r="B45" s="41">
        <f>MIN(C40:Z40)</f>
        <v>99.0</v>
      </c>
    </row>
    <row r="46">
      <c r="A46" s="16" t="inlineStr">
        <is>
          <t>Payback (display)</t>
        </is>
      </c>
      <c r="B46" s="52" t="str">
        <f>IF(B45&gt;24,"No payback within 24 months","Month "&amp;B45)</f>
        <v>No payback within 24 months</v>
      </c>
    </row>
    <row r="47">
      <c r="A47" s="16" t="inlineStr">
        <is>
          <t>12-month contribution LTV per customer (before CAC)</t>
        </is>
      </c>
      <c r="B47" s="42">
        <f>SUM(C34:N34)/$B$6</f>
        <v>3.1692859856986404</v>
      </c>
    </row>
    <row r="48">
      <c r="A48" s="16" t="inlineStr">
        <is>
          <t>24-month contribution LTV per customer (before CAC)</t>
        </is>
      </c>
      <c r="B48" s="42">
        <f>SUM(C34:Z34)/$B$6</f>
        <v>2.149987212021046</v>
      </c>
    </row>
    <row r="49">
      <c r="A49" s="16" t="inlineStr">
        <is>
          <t>12-month contribution LTV net of CAC</t>
        </is>
      </c>
      <c r="B49" s="42">
        <f>B47-$B$13</f>
        <v>-41.83071401430136</v>
      </c>
    </row>
    <row r="50">
      <c r="A50" s="3" t="inlineStr">
        <is>
          <t>24-month contribution LTV net of CAC</t>
        </is>
      </c>
      <c r="B50" s="26">
        <f>B48-$B$13</f>
        <v>-42.850012787978955</v>
      </c>
    </row>
    <row r="51">
      <c r="A51" s="16" t="inlineStr">
        <is>
          <t>12-month LTV:CAC (contribution basis)</t>
        </is>
      </c>
      <c r="B51" s="53">
        <f>IFERROR(B47/$B$13,0)</f>
        <v>0.07042857745996979</v>
      </c>
    </row>
    <row r="52">
      <c r="A52" s="3" t="inlineStr">
        <is>
          <t>24-month LTV:CAC</t>
        </is>
      </c>
      <c r="B52" s="37">
        <f>IFERROR(B48/$B$13,0)</f>
        <v>0.04777749360046769</v>
      </c>
    </row>
    <row r="53">
      <c r="A53" s="3" t="inlineStr">
        <is>
          <t>12-month LTV : blended CAC (info only)</t>
        </is>
      </c>
      <c r="B53" s="37">
        <f>IFERROR(B47/($B$13*Inputs!$G$121),0)</f>
        <v>0.08285714995290563</v>
      </c>
    </row>
    <row r="54">
      <c r="A54" s="3" t="inlineStr">
        <is>
          <t>Cohort contribution from subscription renewals, months 1-24</t>
        </is>
      </c>
      <c r="B54" s="33">
        <f>B29*$B$14</f>
        <v>-216.59741618109615</v>
      </c>
    </row>
    <row r="55">
      <c r="A55" s="3" t="inlineStr">
        <is>
          <t>Renewal contribution per subscriber, 12 months</t>
        </is>
      </c>
      <c r="B55" s="26">
        <f>IFERROR(SUM(C29:N29)*$B$14/$B$9,0)</f>
        <v>-6.340197456506833</v>
      </c>
    </row>
    <row r="56">
      <c r="A56" s="3" t="inlineStr">
        <is>
          <t>Repeat contribution per occasional buyer, 12 months</t>
        </is>
      </c>
      <c r="B56" s="26">
        <f>IFERROR(SUM(C30:N30)*$B$15/$B$10,0)</f>
        <v>-3.5116927999999987</v>
      </c>
    </row>
    <row r="57">
      <c r="A57" s="3" t="inlineStr">
        <is>
          <t>Orders per acquired customer, 12 months</t>
        </is>
      </c>
      <c r="B57" s="11">
        <f>($B$6+SUM(C29:N29)+SUM(C30:N30))/$B$6</f>
        <v>1.6844452995363894</v>
      </c>
    </row>
    <row r="58">
      <c r="A58" s="3" t="inlineStr">
        <is>
          <t>Renewal contribution per subscriber, 24 months</t>
        </is>
      </c>
      <c r="B58" s="26">
        <f>IFERROR(SUM(C29:Z29)*$B$14/$B$9,0)</f>
        <v>-10.829870809054807</v>
      </c>
    </row>
    <row r="59">
      <c r="A59" s="3" t="inlineStr">
        <is>
          <t>Repeat contribution per occasional buyer, 24 months</t>
        </is>
      </c>
      <c r="B59" s="26">
        <f>IFERROR(SUM(C30:Z30)*$B$15/$B$10,0)</f>
        <v>-4.2702184447999985</v>
      </c>
    </row>
    <row r="62">
      <c r="A62" s="54" t="inlineStr">
        <is>
          <t>ENGINE BLOCKS BELOW (same formulas; feed Scenarios and Sensitivity; do not edit)</t>
        </is>
      </c>
    </row>
    <row r="64">
      <c r="A64" s="43" t="inlineStr">
        <is>
          <t>Engine cohort: PESSIMISTIC (engine)</t>
        </is>
      </c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</row>
    <row r="66">
      <c r="A66" s="3" t="inlineStr">
        <is>
          <t>Customers acquired (N)</t>
        </is>
      </c>
      <c r="B66" s="12">
        <f>Inputs!$D$9</f>
        <v>100.0</v>
      </c>
    </row>
    <row r="67">
      <c r="A67" s="3" t="inlineStr">
        <is>
          <t>Subscription attach (after any shock)</t>
        </is>
      </c>
      <c r="B67" s="34">
        <f>MIN(1,Inputs!$D$133*Cat_UnitEcon!$H$10)</f>
        <v>0.1</v>
      </c>
    </row>
    <row r="68">
      <c r="A68" s="3" t="inlineStr">
        <is>
          <t>Non-subscriber 12-month repeat rate</t>
        </is>
      </c>
      <c r="B68" s="45">
        <f>Inputs!$D$139</f>
        <v>0.12</v>
      </c>
    </row>
    <row r="69">
      <c r="A69" s="3" t="inlineStr">
        <is>
          <t>Segment: subscribers</t>
        </is>
      </c>
      <c r="B69" s="46">
        <f>$B$66*$B$67</f>
        <v>10.0</v>
      </c>
    </row>
    <row r="70">
      <c r="A70" s="3" t="inlineStr">
        <is>
          <t>Segment: occasional repeat buyers</t>
        </is>
      </c>
      <c r="B70" s="46">
        <f>$B$66*(1-$B$67)*$B$68</f>
        <v>10.799999999999999</v>
      </c>
    </row>
    <row r="71">
      <c r="A71" s="3" t="inlineStr">
        <is>
          <t>Segment: one-time only</t>
        </is>
      </c>
      <c r="B71" s="46">
        <f>$B$66-$B$69-$B$70</f>
        <v>79.2</v>
      </c>
    </row>
    <row r="72">
      <c r="A72" s="3" t="inlineStr">
        <is>
          <t>First-order contribution before ads, per customer (mix)</t>
        </is>
      </c>
      <c r="B72" s="39">
        <f>Cat_UnitEcon!$H$57</f>
        <v>-23.056980875000008</v>
      </c>
    </row>
    <row r="73">
      <c r="A73" s="3" t="inlineStr">
        <is>
          <t>Paid CAC per new customer</t>
        </is>
      </c>
      <c r="B73" s="39">
        <f>Cat_UnitEcon!$H$60</f>
        <v>65.0</v>
      </c>
    </row>
    <row r="74">
      <c r="A74" s="3" t="inlineStr">
        <is>
          <t>Contribution per subscription renewal order</t>
        </is>
      </c>
      <c r="B74" s="39">
        <f>Cat_UnitEcon!$K$50</f>
        <v>-9.051782499999998</v>
      </c>
    </row>
    <row r="75">
      <c r="A75" s="3" t="inlineStr">
        <is>
          <t>Contribution per occasional repeat order</t>
        </is>
      </c>
      <c r="B75" s="39">
        <f>Cat_UnitEcon!$L$50</f>
        <v>-6.926949999999998</v>
      </c>
    </row>
    <row r="76">
      <c r="A76" s="3" t="inlineStr">
        <is>
          <t>Churn before first renewal (incl. involuntary)</t>
        </is>
      </c>
      <c r="B76" s="34">
        <f>1-(1-MIN(1,Inputs!$D$135*Cat_UnitEcon!$H$11))*(1-MIN(1,Inputs!$D$137*Cat_UnitEcon!$H$11))^$B$78</f>
        <v>0.36930564999999993</v>
      </c>
    </row>
    <row r="77">
      <c r="A77" s="3" t="inlineStr">
        <is>
          <t>Churn per later cycle (incl. involuntary)</t>
        </is>
      </c>
      <c r="B77" s="34">
        <f>1-(1-MIN(1,Inputs!$D$136*Cat_UnitEcon!$H$11))*(1-MIN(1,Inputs!$D$137*Cat_UnitEcon!$H$11))^$B$78</f>
        <v>0.26257275999999996</v>
      </c>
    </row>
    <row r="78">
      <c r="A78" s="3" t="inlineStr">
        <is>
          <t>Renewal cadence (months)</t>
        </is>
      </c>
      <c r="B78" s="12">
        <f>Inputs!$D$134</f>
        <v>3.0</v>
      </c>
    </row>
    <row r="79">
      <c r="A79" s="3" t="inlineStr">
        <is>
          <t>Occasional: month of first repeat</t>
        </is>
      </c>
      <c r="B79" s="12">
        <f>Inputs!$D$140</f>
        <v>5.0</v>
      </c>
    </row>
    <row r="80">
      <c r="A80" s="3" t="inlineStr">
        <is>
          <t>Occasional: months between orders</t>
        </is>
      </c>
      <c r="B80" s="12">
        <f>Inputs!$D$141</f>
        <v>6.0</v>
      </c>
    </row>
    <row r="81">
      <c r="A81" s="3" t="inlineStr">
        <is>
          <t>Occasional: probability of each further order</t>
        </is>
      </c>
      <c r="B81" s="45">
        <f>Inputs!$D$142</f>
        <v>0.5</v>
      </c>
    </row>
    <row r="82">
      <c r="A82" s="3" t="inlineStr">
        <is>
          <t>First-order contribution - subscriber</t>
        </is>
      </c>
      <c r="B82" s="39">
        <f>Cat_UnitEcon!$H$63</f>
        <v>-23.056980875000008</v>
      </c>
    </row>
    <row r="83">
      <c r="A83" s="3" t="inlineStr">
        <is>
          <t>First-order contribution - non-subscriber</t>
        </is>
      </c>
      <c r="B83" s="39">
        <f>Cat_UnitEcon!$H$64</f>
        <v>-23.056980875000008</v>
      </c>
    </row>
    <row r="84">
      <c r="A84" s="3" t="inlineStr">
        <is>
          <t>First-order gross revenue (mix) - reference</t>
        </is>
      </c>
      <c r="B84" s="39">
        <f>Cat_UnitEcon!$H$59</f>
        <v>47.5385</v>
      </c>
    </row>
    <row r="85">
      <c r="A85" s="3" t="inlineStr">
        <is>
          <t>Renewal order gross revenue - reference</t>
        </is>
      </c>
      <c r="B85" s="39">
        <f>Cat_UnitEcon!$K$35</f>
        <v>12.7415</v>
      </c>
    </row>
    <row r="86">
      <c r="A86" s="3" t="inlineStr">
        <is>
          <t>Occasional order gross revenue - reference</t>
        </is>
      </c>
      <c r="B86" s="39">
        <f>Cat_UnitEcon!$L$35</f>
        <v>14.99</v>
      </c>
    </row>
    <row r="88">
      <c r="A88" s="4" t="inlineStr">
        <is>
          <t>Month</t>
        </is>
      </c>
      <c r="B88" s="4" t="inlineStr">
        <is>
          <t>Total 1-24</t>
        </is>
      </c>
      <c r="C88" s="47" t="n">
        <v>1</v>
      </c>
      <c r="D88" s="47" t="n">
        <v>2</v>
      </c>
      <c r="E88" s="47" t="n">
        <v>3</v>
      </c>
      <c r="F88" s="47" t="n">
        <v>4</v>
      </c>
      <c r="G88" s="47" t="n">
        <v>5</v>
      </c>
      <c r="H88" s="47" t="n">
        <v>6</v>
      </c>
      <c r="I88" s="47" t="n">
        <v>7</v>
      </c>
      <c r="J88" s="47" t="n">
        <v>8</v>
      </c>
      <c r="K88" s="47" t="n">
        <v>9</v>
      </c>
      <c r="L88" s="47" t="n">
        <v>10</v>
      </c>
      <c r="M88" s="47" t="n">
        <v>11</v>
      </c>
      <c r="N88" s="47" t="n">
        <v>12</v>
      </c>
      <c r="O88" s="47" t="n">
        <v>13</v>
      </c>
      <c r="P88" s="47" t="n">
        <v>14</v>
      </c>
      <c r="Q88" s="47" t="n">
        <v>15</v>
      </c>
      <c r="R88" s="47" t="n">
        <v>16</v>
      </c>
      <c r="S88" s="47" t="n">
        <v>17</v>
      </c>
      <c r="T88" s="47" t="n">
        <v>18</v>
      </c>
      <c r="U88" s="47" t="n">
        <v>19</v>
      </c>
      <c r="V88" s="47" t="n">
        <v>20</v>
      </c>
      <c r="W88" s="47" t="n">
        <v>21</v>
      </c>
      <c r="X88" s="47" t="n">
        <v>22</v>
      </c>
      <c r="Y88" s="47" t="n">
        <v>23</v>
      </c>
      <c r="Z88" s="47" t="n">
        <v>24</v>
      </c>
    </row>
    <row r="89">
      <c r="A89" s="3" t="inlineStr">
        <is>
          <t>Subscription renewal orders (paying subscribers)</t>
        </is>
      </c>
      <c r="B89" s="48">
        <f>SUM(C89:Z89)</f>
        <v>21.17137702787852</v>
      </c>
      <c r="C89" s="46">
        <f>IF(AND(C$88&gt;1,MOD(C$88-1,$B$78)=0),$B$69*(1-$B$76)*(1-$B$77)^((C$88-1)/$B$78-1),0)</f>
        <v>0.0</v>
      </c>
      <c r="D89" s="46">
        <f>IF(AND(D$88&gt;1,MOD(D$88-1,$B$78)=0),$B$69*(1-$B$76)*(1-$B$77)^((D$88-1)/$B$78-1),0)</f>
        <v>0.0</v>
      </c>
      <c r="E89" s="46">
        <f>IF(AND(E$88&gt;1,MOD(E$88-1,$B$78)=0),$B$69*(1-$B$76)*(1-$B$77)^((E$88-1)/$B$78-1),0)</f>
        <v>0.0</v>
      </c>
      <c r="F89" s="46">
        <f>IF(AND(F$88&gt;1,MOD(F$88-1,$B$78)=0),$B$69*(1-$B$76)*(1-$B$77)^((F$88-1)/$B$78-1),0)</f>
        <v>6.306943500000001</v>
      </c>
      <c r="G89" s="46">
        <f>IF(AND(G$88&gt;1,MOD(G$88-1,$B$78)=0),$B$69*(1-$B$76)*(1-$B$77)^((G$88-1)/$B$78-1),0)</f>
        <v>0.0</v>
      </c>
      <c r="H89" s="46">
        <f>IF(AND(H$88&gt;1,MOD(H$88-1,$B$78)=0),$B$69*(1-$B$76)*(1-$B$77)^((H$88-1)/$B$78-1),0)</f>
        <v>0.0</v>
      </c>
      <c r="I89" s="46">
        <f>IF(AND(I$88&gt;1,MOD(I$88-1,$B$78)=0),$B$69*(1-$B$76)*(1-$B$77)^((I$88-1)/$B$78-1),0)</f>
        <v>4.650911938040941</v>
      </c>
      <c r="J89" s="46">
        <f>IF(AND(J$88&gt;1,MOD(J$88-1,$B$78)=0),$B$69*(1-$B$76)*(1-$B$77)^((J$88-1)/$B$78-1),0)</f>
        <v>0.0</v>
      </c>
      <c r="K89" s="46">
        <f>IF(AND(K$88&gt;1,MOD(K$88-1,$B$78)=0),$B$69*(1-$B$76)*(1-$B$77)^((K$88-1)/$B$78-1),0)</f>
        <v>0.0</v>
      </c>
      <c r="L89" s="46">
        <f>IF(AND(L$88&gt;1,MOD(L$88-1,$B$78)=0),$B$69*(1-$B$76)*(1-$B$77)^((L$88-1)/$B$78-1),0)</f>
        <v>3.4297091539525826</v>
      </c>
      <c r="M89" s="46">
        <f>IF(AND(M$88&gt;1,MOD(M$88-1,$B$78)=0),$B$69*(1-$B$76)*(1-$B$77)^((M$88-1)/$B$78-1),0)</f>
        <v>0.0</v>
      </c>
      <c r="N89" s="46">
        <f>IF(AND(N$88&gt;1,MOD(N$88-1,$B$78)=0),$B$69*(1-$B$76)*(1-$B$77)^((N$88-1)/$B$78-1),0)</f>
        <v>0.0</v>
      </c>
      <c r="O89" s="46">
        <f>IF(AND(O$88&gt;1,MOD(O$88-1,$B$78)=0),$B$69*(1-$B$76)*(1-$B$77)^((O$88-1)/$B$78-1),0)</f>
        <v>2.529160955401988</v>
      </c>
      <c r="P89" s="46">
        <f>IF(AND(P$88&gt;1,MOD(P$88-1,$B$78)=0),$B$69*(1-$B$76)*(1-$B$77)^((P$88-1)/$B$78-1),0)</f>
        <v>0.0</v>
      </c>
      <c r="Q89" s="46">
        <f>IF(AND(Q$88&gt;1,MOD(Q$88-1,$B$78)=0),$B$69*(1-$B$76)*(1-$B$77)^((Q$88-1)/$B$78-1),0)</f>
        <v>0.0</v>
      </c>
      <c r="R89" s="46">
        <f>IF(AND(R$88&gt;1,MOD(R$88-1,$B$78)=0),$B$69*(1-$B$76)*(1-$B$77)^((R$88-1)/$B$78-1),0)</f>
        <v>1.8650721828578511</v>
      </c>
      <c r="S89" s="46">
        <f>IF(AND(S$88&gt;1,MOD(S$88-1,$B$78)=0),$B$69*(1-$B$76)*(1-$B$77)^((S$88-1)/$B$78-1),0)</f>
        <v>0.0</v>
      </c>
      <c r="T89" s="46">
        <f>IF(AND(T$88&gt;1,MOD(T$88-1,$B$78)=0),$B$69*(1-$B$76)*(1-$B$77)^((T$88-1)/$B$78-1),0)</f>
        <v>0.0</v>
      </c>
      <c r="U89" s="46">
        <f>IF(AND(U$88&gt;1,MOD(U$88-1,$B$78)=0),$B$69*(1-$B$76)*(1-$B$77)^((U$88-1)/$B$78-1),0)</f>
        <v>1.3753550322056407</v>
      </c>
      <c r="V89" s="46">
        <f>IF(AND(V$88&gt;1,MOD(V$88-1,$B$78)=0),$B$69*(1-$B$76)*(1-$B$77)^((V$88-1)/$B$78-1),0)</f>
        <v>0.0</v>
      </c>
      <c r="W89" s="46">
        <f>IF(AND(W$88&gt;1,MOD(W$88-1,$B$78)=0),$B$69*(1-$B$76)*(1-$B$77)^((W$88-1)/$B$78-1),0)</f>
        <v>0.0</v>
      </c>
      <c r="X89" s="46">
        <f>IF(AND(X$88&gt;1,MOD(X$88-1,$B$78)=0),$B$69*(1-$B$76)*(1-$B$77)^((X$88-1)/$B$78-1),0)</f>
        <v>1.0142242654195168</v>
      </c>
      <c r="Y89" s="46">
        <f>IF(AND(Y$88&gt;1,MOD(Y$88-1,$B$78)=0),$B$69*(1-$B$76)*(1-$B$77)^((Y$88-1)/$B$78-1),0)</f>
        <v>0.0</v>
      </c>
      <c r="Z89" s="46">
        <f>IF(AND(Z$88&gt;1,MOD(Z$88-1,$B$78)=0),$B$69*(1-$B$76)*(1-$B$77)^((Z$88-1)/$B$78-1),0)</f>
        <v>0.0</v>
      </c>
    </row>
    <row r="90">
      <c r="A90" s="3" t="inlineStr">
        <is>
          <t>Occasional repeat orders</t>
        </is>
      </c>
      <c r="B90" s="48">
        <f>SUM(C90:Z90)</f>
        <v>20.249999999999996</v>
      </c>
      <c r="C90" s="46">
        <f>IF(AND(C$88&gt;=$B$79,MOD(C$88-$B$79,$B$80)=0),$B$70*$B$81^((C$88-$B$79)/$B$80),0)</f>
        <v>0.0</v>
      </c>
      <c r="D90" s="46">
        <f>IF(AND(D$88&gt;=$B$79,MOD(D$88-$B$79,$B$80)=0),$B$70*$B$81^((D$88-$B$79)/$B$80),0)</f>
        <v>0.0</v>
      </c>
      <c r="E90" s="46">
        <f>IF(AND(E$88&gt;=$B$79,MOD(E$88-$B$79,$B$80)=0),$B$70*$B$81^((E$88-$B$79)/$B$80),0)</f>
        <v>0.0</v>
      </c>
      <c r="F90" s="46">
        <f>IF(AND(F$88&gt;=$B$79,MOD(F$88-$B$79,$B$80)=0),$B$70*$B$81^((F$88-$B$79)/$B$80),0)</f>
        <v>0.0</v>
      </c>
      <c r="G90" s="46">
        <f>IF(AND(G$88&gt;=$B$79,MOD(G$88-$B$79,$B$80)=0),$B$70*$B$81^((G$88-$B$79)/$B$80),0)</f>
        <v>10.799999999999999</v>
      </c>
      <c r="H90" s="46">
        <f>IF(AND(H$88&gt;=$B$79,MOD(H$88-$B$79,$B$80)=0),$B$70*$B$81^((H$88-$B$79)/$B$80),0)</f>
        <v>0.0</v>
      </c>
      <c r="I90" s="46">
        <f>IF(AND(I$88&gt;=$B$79,MOD(I$88-$B$79,$B$80)=0),$B$70*$B$81^((I$88-$B$79)/$B$80),0)</f>
        <v>0.0</v>
      </c>
      <c r="J90" s="46">
        <f>IF(AND(J$88&gt;=$B$79,MOD(J$88-$B$79,$B$80)=0),$B$70*$B$81^((J$88-$B$79)/$B$80),0)</f>
        <v>0.0</v>
      </c>
      <c r="K90" s="46">
        <f>IF(AND(K$88&gt;=$B$79,MOD(K$88-$B$79,$B$80)=0),$B$70*$B$81^((K$88-$B$79)/$B$80),0)</f>
        <v>0.0</v>
      </c>
      <c r="L90" s="46">
        <f>IF(AND(L$88&gt;=$B$79,MOD(L$88-$B$79,$B$80)=0),$B$70*$B$81^((L$88-$B$79)/$B$80),0)</f>
        <v>0.0</v>
      </c>
      <c r="M90" s="46">
        <f>IF(AND(M$88&gt;=$B$79,MOD(M$88-$B$79,$B$80)=0),$B$70*$B$81^((M$88-$B$79)/$B$80),0)</f>
        <v>5.3999999999999995</v>
      </c>
      <c r="N90" s="46">
        <f>IF(AND(N$88&gt;=$B$79,MOD(N$88-$B$79,$B$80)=0),$B$70*$B$81^((N$88-$B$79)/$B$80),0)</f>
        <v>0.0</v>
      </c>
      <c r="O90" s="46">
        <f>IF(AND(O$88&gt;=$B$79,MOD(O$88-$B$79,$B$80)=0),$B$70*$B$81^((O$88-$B$79)/$B$80),0)</f>
        <v>0.0</v>
      </c>
      <c r="P90" s="46">
        <f>IF(AND(P$88&gt;=$B$79,MOD(P$88-$B$79,$B$80)=0),$B$70*$B$81^((P$88-$B$79)/$B$80),0)</f>
        <v>0.0</v>
      </c>
      <c r="Q90" s="46">
        <f>IF(AND(Q$88&gt;=$B$79,MOD(Q$88-$B$79,$B$80)=0),$B$70*$B$81^((Q$88-$B$79)/$B$80),0)</f>
        <v>0.0</v>
      </c>
      <c r="R90" s="46">
        <f>IF(AND(R$88&gt;=$B$79,MOD(R$88-$B$79,$B$80)=0),$B$70*$B$81^((R$88-$B$79)/$B$80),0)</f>
        <v>0.0</v>
      </c>
      <c r="S90" s="46">
        <f>IF(AND(S$88&gt;=$B$79,MOD(S$88-$B$79,$B$80)=0),$B$70*$B$81^((S$88-$B$79)/$B$80),0)</f>
        <v>2.6999999999999997</v>
      </c>
      <c r="T90" s="46">
        <f>IF(AND(T$88&gt;=$B$79,MOD(T$88-$B$79,$B$80)=0),$B$70*$B$81^((T$88-$B$79)/$B$80),0)</f>
        <v>0.0</v>
      </c>
      <c r="U90" s="46">
        <f>IF(AND(U$88&gt;=$B$79,MOD(U$88-$B$79,$B$80)=0),$B$70*$B$81^((U$88-$B$79)/$B$80),0)</f>
        <v>0.0</v>
      </c>
      <c r="V90" s="46">
        <f>IF(AND(V$88&gt;=$B$79,MOD(V$88-$B$79,$B$80)=0),$B$70*$B$81^((V$88-$B$79)/$B$80),0)</f>
        <v>0.0</v>
      </c>
      <c r="W90" s="46">
        <f>IF(AND(W$88&gt;=$B$79,MOD(W$88-$B$79,$B$80)=0),$B$70*$B$81^((W$88-$B$79)/$B$80),0)</f>
        <v>0.0</v>
      </c>
      <c r="X90" s="46">
        <f>IF(AND(X$88&gt;=$B$79,MOD(X$88-$B$79,$B$80)=0),$B$70*$B$81^((X$88-$B$79)/$B$80),0)</f>
        <v>0.0</v>
      </c>
      <c r="Y90" s="46">
        <f>IF(AND(Y$88&gt;=$B$79,MOD(Y$88-$B$79,$B$80)=0),$B$70*$B$81^((Y$88-$B$79)/$B$80),0)</f>
        <v>1.3499999999999999</v>
      </c>
      <c r="Z90" s="46">
        <f>IF(AND(Z$88&gt;=$B$79,MOD(Z$88-$B$79,$B$80)=0),$B$70*$B$81^((Z$88-$B$79)/$B$80),0)</f>
        <v>0.0</v>
      </c>
    </row>
    <row r="91">
      <c r="A91" s="3" t="inlineStr">
        <is>
          <t>Contribution - one-time-only segment</t>
        </is>
      </c>
      <c r="B91" s="30">
        <f>SUM(C91:Z91)</f>
        <v>-1826.1128853000007</v>
      </c>
      <c r="C91" s="33">
        <f>IF(C$88=1,$B$71*$B$83,0)</f>
        <v>-1826.1128853000007</v>
      </c>
      <c r="D91" s="33">
        <f>IF(D$88=1,$B$71*$B$83,0)</f>
        <v>0.0</v>
      </c>
      <c r="E91" s="33">
        <f>IF(E$88=1,$B$71*$B$83,0)</f>
        <v>0.0</v>
      </c>
      <c r="F91" s="33">
        <f>IF(F$88=1,$B$71*$B$83,0)</f>
        <v>0.0</v>
      </c>
      <c r="G91" s="33">
        <f>IF(G$88=1,$B$71*$B$83,0)</f>
        <v>0.0</v>
      </c>
      <c r="H91" s="33">
        <f>IF(H$88=1,$B$71*$B$83,0)</f>
        <v>0.0</v>
      </c>
      <c r="I91" s="33">
        <f>IF(I$88=1,$B$71*$B$83,0)</f>
        <v>0.0</v>
      </c>
      <c r="J91" s="33">
        <f>IF(J$88=1,$B$71*$B$83,0)</f>
        <v>0.0</v>
      </c>
      <c r="K91" s="33">
        <f>IF(K$88=1,$B$71*$B$83,0)</f>
        <v>0.0</v>
      </c>
      <c r="L91" s="33">
        <f>IF(L$88=1,$B$71*$B$83,0)</f>
        <v>0.0</v>
      </c>
      <c r="M91" s="33">
        <f>IF(M$88=1,$B$71*$B$83,0)</f>
        <v>0.0</v>
      </c>
      <c r="N91" s="33">
        <f>IF(N$88=1,$B$71*$B$83,0)</f>
        <v>0.0</v>
      </c>
      <c r="O91" s="33">
        <f>IF(O$88=1,$B$71*$B$83,0)</f>
        <v>0.0</v>
      </c>
      <c r="P91" s="33">
        <f>IF(P$88=1,$B$71*$B$83,0)</f>
        <v>0.0</v>
      </c>
      <c r="Q91" s="33">
        <f>IF(Q$88=1,$B$71*$B$83,0)</f>
        <v>0.0</v>
      </c>
      <c r="R91" s="33">
        <f>IF(R$88=1,$B$71*$B$83,0)</f>
        <v>0.0</v>
      </c>
      <c r="S91" s="33">
        <f>IF(S$88=1,$B$71*$B$83,0)</f>
        <v>0.0</v>
      </c>
      <c r="T91" s="33">
        <f>IF(T$88=1,$B$71*$B$83,0)</f>
        <v>0.0</v>
      </c>
      <c r="U91" s="33">
        <f>IF(U$88=1,$B$71*$B$83,0)</f>
        <v>0.0</v>
      </c>
      <c r="V91" s="33">
        <f>IF(V$88=1,$B$71*$B$83,0)</f>
        <v>0.0</v>
      </c>
      <c r="W91" s="33">
        <f>IF(W$88=1,$B$71*$B$83,0)</f>
        <v>0.0</v>
      </c>
      <c r="X91" s="33">
        <f>IF(X$88=1,$B$71*$B$83,0)</f>
        <v>0.0</v>
      </c>
      <c r="Y91" s="33">
        <f>IF(Y$88=1,$B$71*$B$83,0)</f>
        <v>0.0</v>
      </c>
      <c r="Z91" s="33">
        <f>IF(Z$88=1,$B$71*$B$83,0)</f>
        <v>0.0</v>
      </c>
    </row>
    <row r="92">
      <c r="A92" s="3" t="inlineStr">
        <is>
          <t>Contribution - occasional repeat segment</t>
        </is>
      </c>
      <c r="B92" s="30">
        <f>SUM(C92:Z92)</f>
        <v>-389.28613095000003</v>
      </c>
      <c r="C92" s="33">
        <f>IF(C$88=1,$B$70*$B$83,0)+C90*$B$75</f>
        <v>-249.01539345000006</v>
      </c>
      <c r="D92" s="33">
        <f>IF(D$88=1,$B$70*$B$83,0)+D90*$B$75</f>
        <v>0.0</v>
      </c>
      <c r="E92" s="33">
        <f>IF(E$88=1,$B$70*$B$83,0)+E90*$B$75</f>
        <v>0.0</v>
      </c>
      <c r="F92" s="33">
        <f>IF(F$88=1,$B$70*$B$83,0)+F90*$B$75</f>
        <v>0.0</v>
      </c>
      <c r="G92" s="33">
        <f>IF(G$88=1,$B$70*$B$83,0)+G90*$B$75</f>
        <v>-74.81105999999997</v>
      </c>
      <c r="H92" s="33">
        <f>IF(H$88=1,$B$70*$B$83,0)+H90*$B$75</f>
        <v>0.0</v>
      </c>
      <c r="I92" s="33">
        <f>IF(I$88=1,$B$70*$B$83,0)+I90*$B$75</f>
        <v>0.0</v>
      </c>
      <c r="J92" s="33">
        <f>IF(J$88=1,$B$70*$B$83,0)+J90*$B$75</f>
        <v>0.0</v>
      </c>
      <c r="K92" s="33">
        <f>IF(K$88=1,$B$70*$B$83,0)+K90*$B$75</f>
        <v>0.0</v>
      </c>
      <c r="L92" s="33">
        <f>IF(L$88=1,$B$70*$B$83,0)+L90*$B$75</f>
        <v>0.0</v>
      </c>
      <c r="M92" s="33">
        <f>IF(M$88=1,$B$70*$B$83,0)+M90*$B$75</f>
        <v>-37.405529999999985</v>
      </c>
      <c r="N92" s="33">
        <f>IF(N$88=1,$B$70*$B$83,0)+N90*$B$75</f>
        <v>0.0</v>
      </c>
      <c r="O92" s="33">
        <f>IF(O$88=1,$B$70*$B$83,0)+O90*$B$75</f>
        <v>0.0</v>
      </c>
      <c r="P92" s="33">
        <f>IF(P$88=1,$B$70*$B$83,0)+P90*$B$75</f>
        <v>0.0</v>
      </c>
      <c r="Q92" s="33">
        <f>IF(Q$88=1,$B$70*$B$83,0)+Q90*$B$75</f>
        <v>0.0</v>
      </c>
      <c r="R92" s="33">
        <f>IF(R$88=1,$B$70*$B$83,0)+R90*$B$75</f>
        <v>0.0</v>
      </c>
      <c r="S92" s="33">
        <f>IF(S$88=1,$B$70*$B$83,0)+S90*$B$75</f>
        <v>-18.702764999999992</v>
      </c>
      <c r="T92" s="33">
        <f>IF(T$88=1,$B$70*$B$83,0)+T90*$B$75</f>
        <v>0.0</v>
      </c>
      <c r="U92" s="33">
        <f>IF(U$88=1,$B$70*$B$83,0)+U90*$B$75</f>
        <v>0.0</v>
      </c>
      <c r="V92" s="33">
        <f>IF(V$88=1,$B$70*$B$83,0)+V90*$B$75</f>
        <v>0.0</v>
      </c>
      <c r="W92" s="33">
        <f>IF(W$88=1,$B$70*$B$83,0)+W90*$B$75</f>
        <v>0.0</v>
      </c>
      <c r="X92" s="33">
        <f>IF(X$88=1,$B$70*$B$83,0)+X90*$B$75</f>
        <v>0.0</v>
      </c>
      <c r="Y92" s="33">
        <f>IF(Y$88=1,$B$70*$B$83,0)+Y90*$B$75</f>
        <v>-9.351382499999996</v>
      </c>
      <c r="Z92" s="33">
        <f>IF(Z$88=1,$B$70*$B$83,0)+Z90*$B$75</f>
        <v>0.0</v>
      </c>
    </row>
    <row r="93">
      <c r="A93" s="3" t="inlineStr">
        <is>
          <t>Contribution - subscriber segment</t>
        </is>
      </c>
      <c r="B93" s="30">
        <f>SUM(C93:Z93)</f>
        <v>-422.20850883185284</v>
      </c>
      <c r="C93" s="33">
        <f>IF(C$88=1,$B$69*$B$82,0)+C89*$B$74</f>
        <v>-230.56980875000008</v>
      </c>
      <c r="D93" s="33">
        <f>IF(D$88=1,$B$69*$B$82,0)+D89*$B$74</f>
        <v>0.0</v>
      </c>
      <c r="E93" s="33">
        <f>IF(E$88=1,$B$69*$B$82,0)+E89*$B$74</f>
        <v>0.0</v>
      </c>
      <c r="F93" s="33">
        <f>IF(F$88=1,$B$69*$B$82,0)+F89*$B$74</f>
        <v>-57.08908080178875</v>
      </c>
      <c r="G93" s="33">
        <f>IF(G$88=1,$B$69*$B$82,0)+G89*$B$74</f>
        <v>0.0</v>
      </c>
      <c r="H93" s="33">
        <f>IF(H$88=1,$B$69*$B$82,0)+H89*$B$74</f>
        <v>0.0</v>
      </c>
      <c r="I93" s="33">
        <f>IF(I$88=1,$B$69*$B$82,0)+I89*$B$74</f>
        <v>-42.099043289800065</v>
      </c>
      <c r="J93" s="33">
        <f>IF(J$88=1,$B$69*$B$82,0)+J89*$B$74</f>
        <v>0.0</v>
      </c>
      <c r="K93" s="33">
        <f>IF(K$88=1,$B$69*$B$82,0)+K89*$B$74</f>
        <v>0.0</v>
      </c>
      <c r="L93" s="33">
        <f>IF(L$88=1,$B$69*$B$82,0)+L89*$B$74</f>
        <v>-31.044981299837787</v>
      </c>
      <c r="M93" s="33">
        <f>IF(M$88=1,$B$69*$B$82,0)+M89*$B$74</f>
        <v>0.0</v>
      </c>
      <c r="N93" s="33">
        <f>IF(N$88=1,$B$69*$B$82,0)+N89*$B$74</f>
        <v>0.0</v>
      </c>
      <c r="O93" s="33">
        <f>IF(O$88=1,$B$69*$B$82,0)+O89*$B$74</f>
        <v>-22.893414875790988</v>
      </c>
      <c r="P93" s="33">
        <f>IF(P$88=1,$B$69*$B$82,0)+P89*$B$74</f>
        <v>0.0</v>
      </c>
      <c r="Q93" s="33">
        <f>IF(Q$88=1,$B$69*$B$82,0)+Q89*$B$74</f>
        <v>0.0</v>
      </c>
      <c r="R93" s="33">
        <f>IF(R$88=1,$B$69*$B$82,0)+R89*$B$74</f>
        <v>-16.882227746029493</v>
      </c>
      <c r="S93" s="33">
        <f>IF(S$88=1,$B$69*$B$82,0)+S89*$B$74</f>
        <v>0.0</v>
      </c>
      <c r="T93" s="33">
        <f>IF(T$88=1,$B$69*$B$82,0)+T89*$B$74</f>
        <v>0.0</v>
      </c>
      <c r="U93" s="33">
        <f>IF(U$88=1,$B$69*$B$82,0)+U89*$B$74</f>
        <v>-12.449414611805953</v>
      </c>
      <c r="V93" s="33">
        <f>IF(V$88=1,$B$69*$B$82,0)+V89*$B$74</f>
        <v>0.0</v>
      </c>
      <c r="W93" s="33">
        <f>IF(W$88=1,$B$69*$B$82,0)+W89*$B$74</f>
        <v>0.0</v>
      </c>
      <c r="X93" s="33">
        <f>IF(X$88=1,$B$69*$B$82,0)+X89*$B$74</f>
        <v>-9.180537456799735</v>
      </c>
      <c r="Y93" s="33">
        <f>IF(Y$88=1,$B$69*$B$82,0)+Y89*$B$74</f>
        <v>0.0</v>
      </c>
      <c r="Z93" s="33">
        <f>IF(Z$88=1,$B$69*$B$82,0)+Z89*$B$74</f>
        <v>0.0</v>
      </c>
    </row>
    <row r="94">
      <c r="A94" s="16" t="inlineStr">
        <is>
          <t>Total contribution before CAC</t>
        </is>
      </c>
      <c r="B94" s="30">
        <f>SUM(C94:Z94)</f>
        <v>-2637.6075250818535</v>
      </c>
      <c r="C94" s="30">
        <f>SUM(C91:C93)</f>
        <v>-2305.698087500001</v>
      </c>
      <c r="D94" s="30">
        <f>SUM(D91:D93)</f>
        <v>0.0</v>
      </c>
      <c r="E94" s="30">
        <f>SUM(E91:E93)</f>
        <v>0.0</v>
      </c>
      <c r="F94" s="30">
        <f>SUM(F91:F93)</f>
        <v>-57.08908080178875</v>
      </c>
      <c r="G94" s="30">
        <f>SUM(G91:G93)</f>
        <v>-74.81105999999997</v>
      </c>
      <c r="H94" s="30">
        <f>SUM(H91:H93)</f>
        <v>0.0</v>
      </c>
      <c r="I94" s="30">
        <f>SUM(I91:I93)</f>
        <v>-42.099043289800065</v>
      </c>
      <c r="J94" s="30">
        <f>SUM(J91:J93)</f>
        <v>0.0</v>
      </c>
      <c r="K94" s="30">
        <f>SUM(K91:K93)</f>
        <v>0.0</v>
      </c>
      <c r="L94" s="30">
        <f>SUM(L91:L93)</f>
        <v>-31.044981299837787</v>
      </c>
      <c r="M94" s="30">
        <f>SUM(M91:M93)</f>
        <v>-37.405529999999985</v>
      </c>
      <c r="N94" s="30">
        <f>SUM(N91:N93)</f>
        <v>0.0</v>
      </c>
      <c r="O94" s="30">
        <f>SUM(O91:O93)</f>
        <v>-22.893414875790988</v>
      </c>
      <c r="P94" s="30">
        <f>SUM(P91:P93)</f>
        <v>0.0</v>
      </c>
      <c r="Q94" s="30">
        <f>SUM(Q91:Q93)</f>
        <v>0.0</v>
      </c>
      <c r="R94" s="30">
        <f>SUM(R91:R93)</f>
        <v>-16.882227746029493</v>
      </c>
      <c r="S94" s="30">
        <f>SUM(S91:S93)</f>
        <v>-18.702764999999992</v>
      </c>
      <c r="T94" s="30">
        <f>SUM(T91:T93)</f>
        <v>0.0</v>
      </c>
      <c r="U94" s="30">
        <f>SUM(U91:U93)</f>
        <v>-12.449414611805953</v>
      </c>
      <c r="V94" s="30">
        <f>SUM(V91:V93)</f>
        <v>0.0</v>
      </c>
      <c r="W94" s="30">
        <f>SUM(W91:W93)</f>
        <v>0.0</v>
      </c>
      <c r="X94" s="30">
        <f>SUM(X91:X93)</f>
        <v>-9.180537456799735</v>
      </c>
      <c r="Y94" s="30">
        <f>SUM(Y91:Y93)</f>
        <v>-9.351382499999996</v>
      </c>
      <c r="Z94" s="30">
        <f>SUM(Z91:Z93)</f>
        <v>0.0</v>
      </c>
    </row>
    <row r="95">
      <c r="A95" s="3" t="inlineStr">
        <is>
          <t>CAC (paid, month 1)</t>
        </is>
      </c>
      <c r="B95" s="30">
        <f>SUM(C95:Z95)</f>
        <v>-6500.0</v>
      </c>
      <c r="C95" s="33">
        <f>IF(C$88=1,-$B$66*$B$73,0)</f>
        <v>-6500.0</v>
      </c>
      <c r="D95" s="33">
        <f>IF(D$88=1,-$B$66*$B$73,0)</f>
        <v>0.0</v>
      </c>
      <c r="E95" s="33">
        <f>IF(E$88=1,-$B$66*$B$73,0)</f>
        <v>0.0</v>
      </c>
      <c r="F95" s="33">
        <f>IF(F$88=1,-$B$66*$B$73,0)</f>
        <v>0.0</v>
      </c>
      <c r="G95" s="33">
        <f>IF(G$88=1,-$B$66*$B$73,0)</f>
        <v>0.0</v>
      </c>
      <c r="H95" s="33">
        <f>IF(H$88=1,-$B$66*$B$73,0)</f>
        <v>0.0</v>
      </c>
      <c r="I95" s="33">
        <f>IF(I$88=1,-$B$66*$B$73,0)</f>
        <v>0.0</v>
      </c>
      <c r="J95" s="33">
        <f>IF(J$88=1,-$B$66*$B$73,0)</f>
        <v>0.0</v>
      </c>
      <c r="K95" s="33">
        <f>IF(K$88=1,-$B$66*$B$73,0)</f>
        <v>0.0</v>
      </c>
      <c r="L95" s="33">
        <f>IF(L$88=1,-$B$66*$B$73,0)</f>
        <v>0.0</v>
      </c>
      <c r="M95" s="33">
        <f>IF(M$88=1,-$B$66*$B$73,0)</f>
        <v>0.0</v>
      </c>
      <c r="N95" s="33">
        <f>IF(N$88=1,-$B$66*$B$73,0)</f>
        <v>0.0</v>
      </c>
      <c r="O95" s="33">
        <f>IF(O$88=1,-$B$66*$B$73,0)</f>
        <v>0.0</v>
      </c>
      <c r="P95" s="33">
        <f>IF(P$88=1,-$B$66*$B$73,0)</f>
        <v>0.0</v>
      </c>
      <c r="Q95" s="33">
        <f>IF(Q$88=1,-$B$66*$B$73,0)</f>
        <v>0.0</v>
      </c>
      <c r="R95" s="33">
        <f>IF(R$88=1,-$B$66*$B$73,0)</f>
        <v>0.0</v>
      </c>
      <c r="S95" s="33">
        <f>IF(S$88=1,-$B$66*$B$73,0)</f>
        <v>0.0</v>
      </c>
      <c r="T95" s="33">
        <f>IF(T$88=1,-$B$66*$B$73,0)</f>
        <v>0.0</v>
      </c>
      <c r="U95" s="33">
        <f>IF(U$88=1,-$B$66*$B$73,0)</f>
        <v>0.0</v>
      </c>
      <c r="V95" s="33">
        <f>IF(V$88=1,-$B$66*$B$73,0)</f>
        <v>0.0</v>
      </c>
      <c r="W95" s="33">
        <f>IF(W$88=1,-$B$66*$B$73,0)</f>
        <v>0.0</v>
      </c>
      <c r="X95" s="33">
        <f>IF(X$88=1,-$B$66*$B$73,0)</f>
        <v>0.0</v>
      </c>
      <c r="Y95" s="33">
        <f>IF(Y$88=1,-$B$66*$B$73,0)</f>
        <v>0.0</v>
      </c>
      <c r="Z95" s="33">
        <f>IF(Z$88=1,-$B$66*$B$73,0)</f>
        <v>0.0</v>
      </c>
    </row>
    <row r="96">
      <c r="A96" s="3" t="inlineStr">
        <is>
          <t>Net contribution after CAC</t>
        </is>
      </c>
      <c r="B96" s="30">
        <f>SUM(C96:Z96)</f>
        <v>-9137.607525081854</v>
      </c>
      <c r="C96" s="33">
        <f>C94+C95</f>
        <v>-8805.6980875</v>
      </c>
      <c r="D96" s="33">
        <f>D94+D95</f>
        <v>0.0</v>
      </c>
      <c r="E96" s="33">
        <f>E94+E95</f>
        <v>0.0</v>
      </c>
      <c r="F96" s="33">
        <f>F94+F95</f>
        <v>-57.08908080178875</v>
      </c>
      <c r="G96" s="33">
        <f>G94+G95</f>
        <v>-74.81105999999997</v>
      </c>
      <c r="H96" s="33">
        <f>H94+H95</f>
        <v>0.0</v>
      </c>
      <c r="I96" s="33">
        <f>I94+I95</f>
        <v>-42.099043289800065</v>
      </c>
      <c r="J96" s="33">
        <f>J94+J95</f>
        <v>0.0</v>
      </c>
      <c r="K96" s="33">
        <f>K94+K95</f>
        <v>0.0</v>
      </c>
      <c r="L96" s="33">
        <f>L94+L95</f>
        <v>-31.044981299837787</v>
      </c>
      <c r="M96" s="33">
        <f>M94+M95</f>
        <v>-37.405529999999985</v>
      </c>
      <c r="N96" s="33">
        <f>N94+N95</f>
        <v>0.0</v>
      </c>
      <c r="O96" s="33">
        <f>O94+O95</f>
        <v>-22.893414875790988</v>
      </c>
      <c r="P96" s="33">
        <f>P94+P95</f>
        <v>0.0</v>
      </c>
      <c r="Q96" s="33">
        <f>Q94+Q95</f>
        <v>0.0</v>
      </c>
      <c r="R96" s="33">
        <f>R94+R95</f>
        <v>-16.882227746029493</v>
      </c>
      <c r="S96" s="33">
        <f>S94+S95</f>
        <v>-18.702764999999992</v>
      </c>
      <c r="T96" s="33">
        <f>T94+T95</f>
        <v>0.0</v>
      </c>
      <c r="U96" s="33">
        <f>U94+U95</f>
        <v>-12.449414611805953</v>
      </c>
      <c r="V96" s="33">
        <f>V94+V95</f>
        <v>0.0</v>
      </c>
      <c r="W96" s="33">
        <f>W94+W95</f>
        <v>0.0</v>
      </c>
      <c r="X96" s="33">
        <f>X94+X95</f>
        <v>-9.180537456799735</v>
      </c>
      <c r="Y96" s="33">
        <f>Y94+Y95</f>
        <v>-9.351382499999996</v>
      </c>
      <c r="Z96" s="33">
        <f>Z94+Z95</f>
        <v>0.0</v>
      </c>
    </row>
    <row r="97">
      <c r="A97" s="16" t="inlineStr">
        <is>
          <t>CUMULATIVE contribution after CAC</t>
        </is>
      </c>
      <c r="C97" s="49">
        <f>C96</f>
        <v>-8805.6980875</v>
      </c>
      <c r="D97" s="49">
        <f>C97+D96</f>
        <v>-8805.6980875</v>
      </c>
      <c r="E97" s="49">
        <f>D97+E96</f>
        <v>-8805.6980875</v>
      </c>
      <c r="F97" s="49">
        <f>E97+F96</f>
        <v>-8862.78716830179</v>
      </c>
      <c r="G97" s="49">
        <f>F97+G96</f>
        <v>-8937.59822830179</v>
      </c>
      <c r="H97" s="49">
        <f>G97+H96</f>
        <v>-8937.59822830179</v>
      </c>
      <c r="I97" s="49">
        <f>H97+I96</f>
        <v>-8979.697271591589</v>
      </c>
      <c r="J97" s="49">
        <f>I97+J96</f>
        <v>-8979.697271591589</v>
      </c>
      <c r="K97" s="49">
        <f>J97+K96</f>
        <v>-8979.697271591589</v>
      </c>
      <c r="L97" s="49">
        <f>K97+L96</f>
        <v>-9010.742252891427</v>
      </c>
      <c r="M97" s="49">
        <f>L97+M96</f>
        <v>-9048.147782891427</v>
      </c>
      <c r="N97" s="49">
        <f>M97+N96</f>
        <v>-9048.147782891427</v>
      </c>
      <c r="O97" s="49">
        <f>N97+O96</f>
        <v>-9071.041197767217</v>
      </c>
      <c r="P97" s="49">
        <f>O97+P96</f>
        <v>-9071.041197767217</v>
      </c>
      <c r="Q97" s="49">
        <f>P97+Q96</f>
        <v>-9071.041197767217</v>
      </c>
      <c r="R97" s="49">
        <f>Q97+R96</f>
        <v>-9087.923425513247</v>
      </c>
      <c r="S97" s="49">
        <f>R97+S96</f>
        <v>-9106.626190513247</v>
      </c>
      <c r="T97" s="49">
        <f>S97+T96</f>
        <v>-9106.626190513247</v>
      </c>
      <c r="U97" s="49">
        <f>T97+U96</f>
        <v>-9119.075605125054</v>
      </c>
      <c r="V97" s="49">
        <f>U97+V96</f>
        <v>-9119.075605125054</v>
      </c>
      <c r="W97" s="49">
        <f>V97+W96</f>
        <v>-9119.075605125054</v>
      </c>
      <c r="X97" s="49">
        <f>W97+X96</f>
        <v>-9128.256142581853</v>
      </c>
      <c r="Y97" s="49">
        <f>X97+Y96</f>
        <v>-9137.607525081852</v>
      </c>
      <c r="Z97" s="49">
        <f>Y97+Z96</f>
        <v>-9137.607525081852</v>
      </c>
    </row>
    <row r="98">
      <c r="A98" s="3" t="inlineStr">
        <is>
          <t>Cumulative contribution before CAC, per customer</t>
        </is>
      </c>
      <c r="C98" s="26">
        <f>SUM($C94:C94)/$B$66</f>
        <v>-23.056980875000008</v>
      </c>
      <c r="D98" s="26">
        <f>SUM($C94:D94)/$B$66</f>
        <v>-23.056980875000008</v>
      </c>
      <c r="E98" s="26">
        <f>SUM($C94:E94)/$B$66</f>
        <v>-23.056980875000008</v>
      </c>
      <c r="F98" s="26">
        <f>SUM($C94:F94)/$B$66</f>
        <v>-23.627871683017897</v>
      </c>
      <c r="G98" s="26">
        <f>SUM($C94:G94)/$B$66</f>
        <v>-24.375982283017898</v>
      </c>
      <c r="H98" s="26">
        <f>SUM($C94:H94)/$B$66</f>
        <v>-24.375982283017898</v>
      </c>
      <c r="I98" s="26">
        <f>SUM($C94:I94)/$B$66</f>
        <v>-24.796972715915896</v>
      </c>
      <c r="J98" s="26">
        <f>SUM($C94:J94)/$B$66</f>
        <v>-24.796972715915896</v>
      </c>
      <c r="K98" s="26">
        <f>SUM($C94:K94)/$B$66</f>
        <v>-24.796972715915896</v>
      </c>
      <c r="L98" s="26">
        <f>SUM($C94:L94)/$B$66</f>
        <v>-25.107422528914277</v>
      </c>
      <c r="M98" s="26">
        <f>SUM($C94:M94)/$B$66</f>
        <v>-25.481477828914276</v>
      </c>
      <c r="N98" s="26">
        <f>SUM($C94:N94)/$B$66</f>
        <v>-25.481477828914276</v>
      </c>
      <c r="O98" s="26">
        <f>SUM($C94:O94)/$B$66</f>
        <v>-25.710411977672184</v>
      </c>
      <c r="P98" s="26">
        <f>SUM($C94:P94)/$B$66</f>
        <v>-25.710411977672184</v>
      </c>
      <c r="Q98" s="26">
        <f>SUM($C94:Q94)/$B$66</f>
        <v>-25.710411977672184</v>
      </c>
      <c r="R98" s="26">
        <f>SUM($C94:R94)/$B$66</f>
        <v>-25.879234255132477</v>
      </c>
      <c r="S98" s="26">
        <f>SUM($C94:S94)/$B$66</f>
        <v>-26.066261905132478</v>
      </c>
      <c r="T98" s="26">
        <f>SUM($C94:T94)/$B$66</f>
        <v>-26.066261905132478</v>
      </c>
      <c r="U98" s="26">
        <f>SUM($C94:U94)/$B$66</f>
        <v>-26.19075605125054</v>
      </c>
      <c r="V98" s="26">
        <f>SUM($C94:V94)/$B$66</f>
        <v>-26.19075605125054</v>
      </c>
      <c r="W98" s="26">
        <f>SUM($C94:W94)/$B$66</f>
        <v>-26.19075605125054</v>
      </c>
      <c r="X98" s="26">
        <f>SUM($C94:X94)/$B$66</f>
        <v>-26.282561425818535</v>
      </c>
      <c r="Y98" s="26">
        <f>SUM($C94:Y94)/$B$66</f>
        <v>-26.376075250818534</v>
      </c>
      <c r="Z98" s="26">
        <f>SUM($C94:Z94)/$B$66</f>
        <v>-26.376075250818534</v>
      </c>
    </row>
    <row r="99">
      <c r="A99" s="3" t="inlineStr">
        <is>
          <t>Gross revenue (reference only - NOT used for LTV)</t>
        </is>
      </c>
      <c r="B99" s="30">
        <f>SUM(C99:Z99)</f>
        <v>5327.152600400715</v>
      </c>
      <c r="C99" s="50">
        <f>IF(C$88=1,$B$66*$B$84,0)+C89*$B$85+C90*$B$86</f>
        <v>4753.85</v>
      </c>
      <c r="D99" s="50">
        <f>IF(D$88=1,$B$66*$B$84,0)+D89*$B$85+D90*$B$86</f>
        <v>0.0</v>
      </c>
      <c r="E99" s="50">
        <f>IF(E$88=1,$B$66*$B$84,0)+E89*$B$85+E90*$B$86</f>
        <v>0.0</v>
      </c>
      <c r="F99" s="50">
        <f>IF(F$88=1,$B$66*$B$84,0)+F89*$B$85+F90*$B$86</f>
        <v>80.35992060525001</v>
      </c>
      <c r="G99" s="50">
        <f>IF(G$88=1,$B$66*$B$84,0)+G89*$B$85+G90*$B$86</f>
        <v>161.892</v>
      </c>
      <c r="H99" s="50">
        <f>IF(H$88=1,$B$66*$B$84,0)+H89*$B$85+H90*$B$86</f>
        <v>0.0</v>
      </c>
      <c r="I99" s="50">
        <f>IF(I$88=1,$B$66*$B$84,0)+I89*$B$85+I90*$B$86</f>
        <v>59.25959445854865</v>
      </c>
      <c r="J99" s="50">
        <f>IF(J$88=1,$B$66*$B$84,0)+J89*$B$85+J90*$B$86</f>
        <v>0.0</v>
      </c>
      <c r="K99" s="50">
        <f>IF(K$88=1,$B$66*$B$84,0)+K89*$B$85+K90*$B$86</f>
        <v>0.0</v>
      </c>
      <c r="L99" s="50">
        <f>IF(L$88=1,$B$66*$B$84,0)+L89*$B$85+L90*$B$86</f>
        <v>43.69963918508683</v>
      </c>
      <c r="M99" s="50">
        <f>IF(M$88=1,$B$66*$B$84,0)+M89*$B$85+M90*$B$86</f>
        <v>80.946</v>
      </c>
      <c r="N99" s="50">
        <f>IF(N$88=1,$B$66*$B$84,0)+N89*$B$85+N90*$B$86</f>
        <v>0.0</v>
      </c>
      <c r="O99" s="50">
        <f>IF(O$88=1,$B$66*$B$84,0)+O89*$B$85+O90*$B$86</f>
        <v>32.225304313254426</v>
      </c>
      <c r="P99" s="50">
        <f>IF(P$88=1,$B$66*$B$84,0)+P89*$B$85+P90*$B$86</f>
        <v>0.0</v>
      </c>
      <c r="Q99" s="50">
        <f>IF(Q$88=1,$B$66*$B$84,0)+Q89*$B$85+Q90*$B$86</f>
        <v>0.0</v>
      </c>
      <c r="R99" s="50">
        <f>IF(R$88=1,$B$66*$B$84,0)+R89*$B$85+R90*$B$86</f>
        <v>23.76381721788331</v>
      </c>
      <c r="S99" s="50">
        <f>IF(S$88=1,$B$66*$B$84,0)+S89*$B$85+S90*$B$86</f>
        <v>40.473</v>
      </c>
      <c r="T99" s="50">
        <f>IF(T$88=1,$B$66*$B$84,0)+T89*$B$85+T90*$B$86</f>
        <v>0.0</v>
      </c>
      <c r="U99" s="50">
        <f>IF(U$88=1,$B$66*$B$84,0)+U89*$B$85+U90*$B$86</f>
        <v>17.524086142848173</v>
      </c>
      <c r="V99" s="50">
        <f>IF(V$88=1,$B$66*$B$84,0)+V89*$B$85+V90*$B$86</f>
        <v>0.0</v>
      </c>
      <c r="W99" s="50">
        <f>IF(W$88=1,$B$66*$B$84,0)+W89*$B$85+W90*$B$86</f>
        <v>0.0</v>
      </c>
      <c r="X99" s="50">
        <f>IF(X$88=1,$B$66*$B$84,0)+X89*$B$85+X90*$B$86</f>
        <v>12.922738477842774</v>
      </c>
      <c r="Y99" s="50">
        <f>IF(Y$88=1,$B$66*$B$84,0)+Y89*$B$85+Y90*$B$86</f>
        <v>20.2365</v>
      </c>
      <c r="Z99" s="50">
        <f>IF(Z$88=1,$B$66*$B$84,0)+Z89*$B$85+Z90*$B$86</f>
        <v>0.0</v>
      </c>
    </row>
    <row r="100">
      <c r="A100" s="3" t="inlineStr">
        <is>
          <t>Payback helper (month if cumulative &gt;= 0, else 99)</t>
        </is>
      </c>
      <c r="C100" s="51">
        <f>IF(C97&gt;=0,C$88,99)</f>
        <v>99.0</v>
      </c>
      <c r="D100" s="51">
        <f>IF(D97&gt;=0,D$88,99)</f>
        <v>99.0</v>
      </c>
      <c r="E100" s="51">
        <f>IF(E97&gt;=0,E$88,99)</f>
        <v>99.0</v>
      </c>
      <c r="F100" s="51">
        <f>IF(F97&gt;=0,F$88,99)</f>
        <v>99.0</v>
      </c>
      <c r="G100" s="51">
        <f>IF(G97&gt;=0,G$88,99)</f>
        <v>99.0</v>
      </c>
      <c r="H100" s="51">
        <f>IF(H97&gt;=0,H$88,99)</f>
        <v>99.0</v>
      </c>
      <c r="I100" s="51">
        <f>IF(I97&gt;=0,I$88,99)</f>
        <v>99.0</v>
      </c>
      <c r="J100" s="51">
        <f>IF(J97&gt;=0,J$88,99)</f>
        <v>99.0</v>
      </c>
      <c r="K100" s="51">
        <f>IF(K97&gt;=0,K$88,99)</f>
        <v>99.0</v>
      </c>
      <c r="L100" s="51">
        <f>IF(L97&gt;=0,L$88,99)</f>
        <v>99.0</v>
      </c>
      <c r="M100" s="51">
        <f>IF(M97&gt;=0,M$88,99)</f>
        <v>99.0</v>
      </c>
      <c r="N100" s="51">
        <f>IF(N97&gt;=0,N$88,99)</f>
        <v>99.0</v>
      </c>
      <c r="O100" s="51">
        <f>IF(O97&gt;=0,O$88,99)</f>
        <v>99.0</v>
      </c>
      <c r="P100" s="51">
        <f>IF(P97&gt;=0,P$88,99)</f>
        <v>99.0</v>
      </c>
      <c r="Q100" s="51">
        <f>IF(Q97&gt;=0,Q$88,99)</f>
        <v>99.0</v>
      </c>
      <c r="R100" s="51">
        <f>IF(R97&gt;=0,R$88,99)</f>
        <v>99.0</v>
      </c>
      <c r="S100" s="51">
        <f>IF(S97&gt;=0,S$88,99)</f>
        <v>99.0</v>
      </c>
      <c r="T100" s="51">
        <f>IF(T97&gt;=0,T$88,99)</f>
        <v>99.0</v>
      </c>
      <c r="U100" s="51">
        <f>IF(U97&gt;=0,U$88,99)</f>
        <v>99.0</v>
      </c>
      <c r="V100" s="51">
        <f>IF(V97&gt;=0,V$88,99)</f>
        <v>99.0</v>
      </c>
      <c r="W100" s="51">
        <f>IF(W97&gt;=0,W$88,99)</f>
        <v>99.0</v>
      </c>
      <c r="X100" s="51">
        <f>IF(X97&gt;=0,X$88,99)</f>
        <v>99.0</v>
      </c>
      <c r="Y100" s="51">
        <f>IF(Y97&gt;=0,Y$88,99)</f>
        <v>99.0</v>
      </c>
      <c r="Z100" s="51">
        <f>IF(Z97&gt;=0,Z$88,99)</f>
        <v>99.0</v>
      </c>
    </row>
    <row r="102">
      <c r="A102" s="16" t="inlineStr">
        <is>
          <t>FIRST-ORDER contribution before ads, per customer</t>
        </is>
      </c>
      <c r="B102" s="42">
        <f>$B$72</f>
        <v>-23.056980875000008</v>
      </c>
    </row>
    <row r="103">
      <c r="A103" s="16" t="inlineStr">
        <is>
          <t>FIRST-ORDER contribution after CAC, per customer</t>
        </is>
      </c>
      <c r="B103" s="42">
        <f>$B$72-$B$73</f>
        <v>-88.05698087500001</v>
      </c>
    </row>
    <row r="104">
      <c r="A104" s="16" t="inlineStr">
        <is>
          <t>Is the first order profitable after CAC?</t>
        </is>
      </c>
      <c r="B104" s="52" t="str">
        <f>IF(B103&gt;=0,"YES - first order covers CAC","NO - first order loses money after CAC")</f>
        <v>NO - first order loses money after CAC</v>
      </c>
    </row>
    <row r="105">
      <c r="A105" s="3" t="inlineStr">
        <is>
          <t>Payback month (numeric; 99 = none within 24 months)</t>
        </is>
      </c>
      <c r="B105" s="41">
        <f>MIN(C100:Z100)</f>
        <v>99.0</v>
      </c>
    </row>
    <row r="106">
      <c r="A106" s="16" t="inlineStr">
        <is>
          <t>Payback (display)</t>
        </is>
      </c>
      <c r="B106" s="52" t="str">
        <f>IF(B105&gt;24,"No payback within 24 months","Month "&amp;B105)</f>
        <v>No payback within 24 months</v>
      </c>
    </row>
    <row r="107">
      <c r="A107" s="16" t="inlineStr">
        <is>
          <t>12-month contribution LTV per customer (before CAC)</t>
        </is>
      </c>
      <c r="B107" s="42">
        <f>SUM(C94:N94)/$B$66</f>
        <v>-25.481477828914276</v>
      </c>
    </row>
    <row r="108">
      <c r="A108" s="16" t="inlineStr">
        <is>
          <t>24-month contribution LTV per customer (before CAC)</t>
        </is>
      </c>
      <c r="B108" s="42">
        <f>SUM(C94:Z94)/$B$66</f>
        <v>-26.376075250818534</v>
      </c>
    </row>
    <row r="109">
      <c r="A109" s="16" t="inlineStr">
        <is>
          <t>12-month contribution LTV net of CAC</t>
        </is>
      </c>
      <c r="B109" s="42">
        <f>B107-$B$73</f>
        <v>-90.48147782891428</v>
      </c>
    </row>
    <row r="110">
      <c r="A110" s="3" t="inlineStr">
        <is>
          <t>24-month contribution LTV net of CAC</t>
        </is>
      </c>
      <c r="B110" s="26">
        <f>B108-$B$73</f>
        <v>-91.37607525081853</v>
      </c>
    </row>
    <row r="111">
      <c r="A111" s="16" t="inlineStr">
        <is>
          <t>12-month LTV:CAC (contribution basis)</t>
        </is>
      </c>
      <c r="B111" s="53">
        <f>IFERROR(B107/$B$73,0)</f>
        <v>-0.3920227358294504</v>
      </c>
    </row>
    <row r="112">
      <c r="A112" s="3" t="inlineStr">
        <is>
          <t>24-month LTV:CAC</t>
        </is>
      </c>
      <c r="B112" s="37">
        <f>IFERROR(B108/$B$73,0)</f>
        <v>-0.4057857730895159</v>
      </c>
    </row>
    <row r="113">
      <c r="A113" s="3" t="inlineStr">
        <is>
          <t>12-month LTV : blended CAC (info only)</t>
        </is>
      </c>
      <c r="B113" s="37">
        <f>IFERROR(B107/($B$73*Inputs!$D$121),0)</f>
        <v>-0.41265551139942147</v>
      </c>
    </row>
    <row r="114">
      <c r="A114" s="3" t="inlineStr">
        <is>
          <t>Cohort contribution from subscription renewals, months 1-24</t>
        </is>
      </c>
      <c r="B114" s="33">
        <f>B89*$B$74</f>
        <v>-191.63870008185276</v>
      </c>
    </row>
    <row r="115">
      <c r="A115" s="3" t="inlineStr">
        <is>
          <t>Renewal contribution per subscriber, 12 months</t>
        </is>
      </c>
      <c r="B115" s="26">
        <f>IFERROR(SUM(C89:N89)*$B$74/$B$69,0)</f>
        <v>-13.02331053914266</v>
      </c>
    </row>
    <row r="116">
      <c r="A116" s="3" t="inlineStr">
        <is>
          <t>Repeat contribution per occasional buyer, 12 months</t>
        </is>
      </c>
      <c r="B116" s="26">
        <f>IFERROR(SUM(C90:N90)*$B$75/$B$70,0)</f>
        <v>-10.390424999999999</v>
      </c>
    </row>
    <row r="117">
      <c r="A117" s="3" t="inlineStr">
        <is>
          <t>Orders per acquired customer, 12 months</t>
        </is>
      </c>
      <c r="B117" s="11">
        <f>($B$66+SUM(C89:N89)+SUM(C90:N90))/$B$66</f>
        <v>1.3058756459199352</v>
      </c>
    </row>
    <row r="118">
      <c r="A118" s="3" t="inlineStr">
        <is>
          <t>Renewal contribution per subscriber, 24 months</t>
        </is>
      </c>
      <c r="B118" s="26">
        <f>IFERROR(SUM(C89:Z89)*$B$74/$B$69,0)</f>
        <v>-19.163870008185278</v>
      </c>
    </row>
    <row r="119">
      <c r="A119" s="3" t="inlineStr">
        <is>
          <t>Repeat contribution per occasional buyer, 24 months</t>
        </is>
      </c>
      <c r="B119" s="26">
        <f>IFERROR(SUM(C90:Z90)*$B$75/$B$70,0)</f>
        <v>-12.988031249999995</v>
      </c>
    </row>
    <row r="122">
      <c r="A122" s="43" t="inlineStr">
        <is>
          <t>Engine cohort: BASE (engine)</t>
        </is>
      </c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</row>
    <row r="124">
      <c r="A124" s="3" t="inlineStr">
        <is>
          <t>Customers acquired (N)</t>
        </is>
      </c>
      <c r="B124" s="12">
        <f>Inputs!$E$9</f>
        <v>100.0</v>
      </c>
    </row>
    <row r="125">
      <c r="A125" s="3" t="inlineStr">
        <is>
          <t>Subscription attach (after any shock)</t>
        </is>
      </c>
      <c r="B125" s="34">
        <f>MIN(1,Inputs!$E$133*Cat_UnitEcon!$N$10)</f>
        <v>0.2</v>
      </c>
    </row>
    <row r="126">
      <c r="A126" s="3" t="inlineStr">
        <is>
          <t>Non-subscriber 12-month repeat rate</t>
        </is>
      </c>
      <c r="B126" s="45">
        <f>Inputs!$E$139</f>
        <v>0.2</v>
      </c>
    </row>
    <row r="127">
      <c r="A127" s="3" t="inlineStr">
        <is>
          <t>Segment: subscribers</t>
        </is>
      </c>
      <c r="B127" s="46">
        <f>$B$124*$B$125</f>
        <v>20.0</v>
      </c>
    </row>
    <row r="128">
      <c r="A128" s="3" t="inlineStr">
        <is>
          <t>Segment: occasional repeat buyers</t>
        </is>
      </c>
      <c r="B128" s="46">
        <f>$B$124*(1-$B$125)*$B$126</f>
        <v>16.0</v>
      </c>
    </row>
    <row r="129">
      <c r="A129" s="3" t="inlineStr">
        <is>
          <t>Segment: one-time only</t>
        </is>
      </c>
      <c r="B129" s="46">
        <f>$B$124-$B$127-$B$128</f>
        <v>64.0</v>
      </c>
    </row>
    <row r="130">
      <c r="A130" s="3" t="inlineStr">
        <is>
          <t>First-order contribution before ads, per customer (mix)</t>
        </is>
      </c>
      <c r="B130" s="39">
        <f>Cat_UnitEcon!$N$57</f>
        <v>4.999196325000007</v>
      </c>
    </row>
    <row r="131">
      <c r="A131" s="3" t="inlineStr">
        <is>
          <t>Paid CAC per new customer</t>
        </is>
      </c>
      <c r="B131" s="39">
        <f>Cat_UnitEcon!$N$60</f>
        <v>45.0</v>
      </c>
    </row>
    <row r="132">
      <c r="A132" s="3" t="inlineStr">
        <is>
          <t>Contribution per subscription renewal order</t>
        </is>
      </c>
      <c r="B132" s="39">
        <f>Cat_UnitEcon!$Q$50</f>
        <v>-3.419322000000001</v>
      </c>
    </row>
    <row r="133">
      <c r="A133" s="3" t="inlineStr">
        <is>
          <t>Contribution per occasional repeat order</t>
        </is>
      </c>
      <c r="B133" s="39">
        <f>Cat_UnitEcon!$R$50</f>
        <v>-1.7916799999999995</v>
      </c>
    </row>
    <row r="134">
      <c r="A134" s="3" t="inlineStr">
        <is>
          <t>Churn before first renewal (incl. involuntary)</t>
        </is>
      </c>
      <c r="B134" s="34">
        <f>1-(1-MIN(1,Inputs!$E$135*Cat_UnitEcon!$N$11))*(1-MIN(1,Inputs!$E$137*Cat_UnitEcon!$N$11))^$B$136</f>
        <v>0.26564000725000003</v>
      </c>
    </row>
    <row r="135">
      <c r="A135" s="3" t="inlineStr">
        <is>
          <t>Churn per later cycle (incl. involuntary)</t>
        </is>
      </c>
      <c r="B135" s="34">
        <f>1-(1-MIN(1,Inputs!$E$136*Cat_UnitEcon!$N$11))*(1-MIN(1,Inputs!$E$137*Cat_UnitEcon!$N$11))^$B$136</f>
        <v>0.16772534154999996</v>
      </c>
    </row>
    <row r="136">
      <c r="A136" s="3" t="inlineStr">
        <is>
          <t>Renewal cadence (months)</t>
        </is>
      </c>
      <c r="B136" s="12">
        <f>Inputs!$E$134</f>
        <v>3.0</v>
      </c>
    </row>
    <row r="137">
      <c r="A137" s="3" t="inlineStr">
        <is>
          <t>Occasional: month of first repeat</t>
        </is>
      </c>
      <c r="B137" s="12">
        <f>Inputs!$E$140</f>
        <v>4.0</v>
      </c>
    </row>
    <row r="138">
      <c r="A138" s="3" t="inlineStr">
        <is>
          <t>Occasional: months between orders</t>
        </is>
      </c>
      <c r="B138" s="12">
        <f>Inputs!$E$141</f>
        <v>4.0</v>
      </c>
    </row>
    <row r="139">
      <c r="A139" s="3" t="inlineStr">
        <is>
          <t>Occasional: probability of each further order</t>
        </is>
      </c>
      <c r="B139" s="45">
        <f>Inputs!$E$142</f>
        <v>0.6</v>
      </c>
    </row>
    <row r="140">
      <c r="A140" s="3" t="inlineStr">
        <is>
          <t>First-order contribution - subscriber</t>
        </is>
      </c>
      <c r="B140" s="39">
        <f>Cat_UnitEcon!$N$63</f>
        <v>4.999196325000007</v>
      </c>
    </row>
    <row r="141">
      <c r="A141" s="3" t="inlineStr">
        <is>
          <t>First-order contribution - non-subscriber</t>
        </is>
      </c>
      <c r="B141" s="39">
        <f>Cat_UnitEcon!$N$64</f>
        <v>4.999196325000007</v>
      </c>
    </row>
    <row r="142">
      <c r="A142" s="3" t="inlineStr">
        <is>
          <t>First-order gross revenue (mix) - reference</t>
        </is>
      </c>
      <c r="B142" s="39">
        <f>Cat_UnitEcon!$N$59</f>
        <v>54.9875</v>
      </c>
    </row>
    <row r="143">
      <c r="A143" s="3" t="inlineStr">
        <is>
          <t>Renewal order gross revenue - reference</t>
        </is>
      </c>
      <c r="B143" s="39">
        <f>Cat_UnitEcon!$Q$35</f>
        <v>15.290999999999999</v>
      </c>
    </row>
    <row r="144">
      <c r="A144" s="3" t="inlineStr">
        <is>
          <t>Occasional order gross revenue - reference</t>
        </is>
      </c>
      <c r="B144" s="39">
        <f>Cat_UnitEcon!$R$35</f>
        <v>16.99</v>
      </c>
    </row>
    <row r="146">
      <c r="A146" s="4" t="inlineStr">
        <is>
          <t>Month</t>
        </is>
      </c>
      <c r="B146" s="4" t="inlineStr">
        <is>
          <t>Total 1-24</t>
        </is>
      </c>
      <c r="C146" s="47" t="n">
        <v>1</v>
      </c>
      <c r="D146" s="47" t="n">
        <v>2</v>
      </c>
      <c r="E146" s="47" t="n">
        <v>3</v>
      </c>
      <c r="F146" s="47" t="n">
        <v>4</v>
      </c>
      <c r="G146" s="47" t="n">
        <v>5</v>
      </c>
      <c r="H146" s="47" t="n">
        <v>6</v>
      </c>
      <c r="I146" s="47" t="n">
        <v>7</v>
      </c>
      <c r="J146" s="47" t="n">
        <v>8</v>
      </c>
      <c r="K146" s="47" t="n">
        <v>9</v>
      </c>
      <c r="L146" s="47" t="n">
        <v>10</v>
      </c>
      <c r="M146" s="47" t="n">
        <v>11</v>
      </c>
      <c r="N146" s="47" t="n">
        <v>12</v>
      </c>
      <c r="O146" s="47" t="n">
        <v>13</v>
      </c>
      <c r="P146" s="47" t="n">
        <v>14</v>
      </c>
      <c r="Q146" s="47" t="n">
        <v>15</v>
      </c>
      <c r="R146" s="47" t="n">
        <v>16</v>
      </c>
      <c r="S146" s="47" t="n">
        <v>17</v>
      </c>
      <c r="T146" s="47" t="n">
        <v>18</v>
      </c>
      <c r="U146" s="47" t="n">
        <v>19</v>
      </c>
      <c r="V146" s="47" t="n">
        <v>20</v>
      </c>
      <c r="W146" s="47" t="n">
        <v>21</v>
      </c>
      <c r="X146" s="47" t="n">
        <v>22</v>
      </c>
      <c r="Y146" s="47" t="n">
        <v>23</v>
      </c>
      <c r="Z146" s="47" t="n">
        <v>24</v>
      </c>
    </row>
    <row r="147">
      <c r="A147" s="3" t="inlineStr">
        <is>
          <t>Subscription renewal orders (paying subscribers)</t>
        </is>
      </c>
      <c r="B147" s="48">
        <f>SUM(C147:Z147)</f>
        <v>63.345135726058</v>
      </c>
      <c r="C147" s="46">
        <f>IF(AND(C$146&gt;1,MOD(C$146-1,$B$136)=0),$B$127*(1-$B$134)*(1-$B$135)^((C$146-1)/$B$136-1),0)</f>
        <v>0.0</v>
      </c>
      <c r="D147" s="46">
        <f>IF(AND(D$146&gt;1,MOD(D$146-1,$B$136)=0),$B$127*(1-$B$134)*(1-$B$135)^((D$146-1)/$B$136-1),0)</f>
        <v>0.0</v>
      </c>
      <c r="E147" s="46">
        <f>IF(AND(E$146&gt;1,MOD(E$146-1,$B$136)=0),$B$127*(1-$B$134)*(1-$B$135)^((E$146-1)/$B$136-1),0)</f>
        <v>0.0</v>
      </c>
      <c r="F147" s="46">
        <f>IF(AND(F$146&gt;1,MOD(F$146-1,$B$136)=0),$B$127*(1-$B$134)*(1-$B$135)^((F$146-1)/$B$136-1),0)</f>
        <v>14.687199855</v>
      </c>
      <c r="G147" s="46">
        <f>IF(AND(G$146&gt;1,MOD(G$146-1,$B$136)=0),$B$127*(1-$B$134)*(1-$B$135)^((G$146-1)/$B$136-1),0)</f>
        <v>0.0</v>
      </c>
      <c r="H147" s="46">
        <f>IF(AND(H$146&gt;1,MOD(H$146-1,$B$136)=0),$B$127*(1-$B$134)*(1-$B$135)^((H$146-1)/$B$136-1),0)</f>
        <v>0.0</v>
      </c>
      <c r="I147" s="46">
        <f>IF(AND(I$146&gt;1,MOD(I$146-1,$B$136)=0),$B$127*(1-$B$134)*(1-$B$135)^((I$146-1)/$B$136-1),0)</f>
        <v>12.223784242907014</v>
      </c>
      <c r="J147" s="46">
        <f>IF(AND(J$146&gt;1,MOD(J$146-1,$B$136)=0),$B$127*(1-$B$134)*(1-$B$135)^((J$146-1)/$B$136-1),0)</f>
        <v>0.0</v>
      </c>
      <c r="K147" s="46">
        <f>IF(AND(K$146&gt;1,MOD(K$146-1,$B$136)=0),$B$127*(1-$B$134)*(1-$B$135)^((K$146-1)/$B$136-1),0)</f>
        <v>0.0</v>
      </c>
      <c r="L147" s="46">
        <f>IF(AND(L$146&gt;1,MOD(L$146-1,$B$136)=0),$B$127*(1-$B$134)*(1-$B$135)^((L$146-1)/$B$136-1),0)</f>
        <v>10.173545855731927</v>
      </c>
      <c r="M147" s="46">
        <f>IF(AND(M$146&gt;1,MOD(M$146-1,$B$136)=0),$B$127*(1-$B$134)*(1-$B$135)^((M$146-1)/$B$136-1),0)</f>
        <v>0.0</v>
      </c>
      <c r="N147" s="46">
        <f>IF(AND(N$146&gt;1,MOD(N$146-1,$B$136)=0),$B$127*(1-$B$134)*(1-$B$135)^((N$146-1)/$B$136-1),0)</f>
        <v>0.0</v>
      </c>
      <c r="O147" s="46">
        <f>IF(AND(O$146&gt;1,MOD(O$146-1,$B$136)=0),$B$127*(1-$B$134)*(1-$B$135)^((O$146-1)/$B$136-1),0)</f>
        <v>8.467184402304705</v>
      </c>
      <c r="P147" s="46">
        <f>IF(AND(P$146&gt;1,MOD(P$146-1,$B$136)=0),$B$127*(1-$B$134)*(1-$B$135)^((P$146-1)/$B$136-1),0)</f>
        <v>0.0</v>
      </c>
      <c r="Q147" s="46">
        <f>IF(AND(Q$146&gt;1,MOD(Q$146-1,$B$136)=0),$B$127*(1-$B$134)*(1-$B$135)^((Q$146-1)/$B$136-1),0)</f>
        <v>0.0</v>
      </c>
      <c r="R147" s="46">
        <f>IF(AND(R$146&gt;1,MOD(R$146-1,$B$136)=0),$B$127*(1-$B$134)*(1-$B$135)^((R$146-1)/$B$136-1),0)</f>
        <v>7.047023006461314</v>
      </c>
      <c r="S147" s="46">
        <f>IF(AND(S$146&gt;1,MOD(S$146-1,$B$136)=0),$B$127*(1-$B$134)*(1-$B$135)^((S$146-1)/$B$136-1),0)</f>
        <v>0.0</v>
      </c>
      <c r="T147" s="46">
        <f>IF(AND(T$146&gt;1,MOD(T$146-1,$B$136)=0),$B$127*(1-$B$134)*(1-$B$135)^((T$146-1)/$B$136-1),0)</f>
        <v>0.0</v>
      </c>
      <c r="U147" s="46">
        <f>IF(AND(U$146&gt;1,MOD(U$146-1,$B$136)=0),$B$127*(1-$B$134)*(1-$B$135)^((U$146-1)/$B$136-1),0)</f>
        <v>5.865058665791883</v>
      </c>
      <c r="V147" s="46">
        <f>IF(AND(V$146&gt;1,MOD(V$146-1,$B$136)=0),$B$127*(1-$B$134)*(1-$B$135)^((V$146-1)/$B$136-1),0)</f>
        <v>0.0</v>
      </c>
      <c r="W147" s="46">
        <f>IF(AND(W$146&gt;1,MOD(W$146-1,$B$136)=0),$B$127*(1-$B$134)*(1-$B$135)^((W$146-1)/$B$136-1),0)</f>
        <v>0.0</v>
      </c>
      <c r="X147" s="46">
        <f>IF(AND(X$146&gt;1,MOD(X$146-1,$B$136)=0),$B$127*(1-$B$134)*(1-$B$135)^((X$146-1)/$B$136-1),0)</f>
        <v>4.8813396978611525</v>
      </c>
      <c r="Y147" s="46">
        <f>IF(AND(Y$146&gt;1,MOD(Y$146-1,$B$136)=0),$B$127*(1-$B$134)*(1-$B$135)^((Y$146-1)/$B$136-1),0)</f>
        <v>0.0</v>
      </c>
      <c r="Z147" s="46">
        <f>IF(AND(Z$146&gt;1,MOD(Z$146-1,$B$136)=0),$B$127*(1-$B$134)*(1-$B$135)^((Z$146-1)/$B$136-1),0)</f>
        <v>0.0</v>
      </c>
    </row>
    <row r="148">
      <c r="A148" s="3" t="inlineStr">
        <is>
          <t>Occasional repeat orders</t>
        </is>
      </c>
      <c r="B148" s="48">
        <f>SUM(C148:Z148)</f>
        <v>38.133759999999995</v>
      </c>
      <c r="C148" s="46">
        <f>IF(AND(C$146&gt;=$B$137,MOD(C$146-$B$137,$B$138)=0),$B$128*$B$139^((C$146-$B$137)/$B$138),0)</f>
        <v>0.0</v>
      </c>
      <c r="D148" s="46">
        <f>IF(AND(D$146&gt;=$B$137,MOD(D$146-$B$137,$B$138)=0),$B$128*$B$139^((D$146-$B$137)/$B$138),0)</f>
        <v>0.0</v>
      </c>
      <c r="E148" s="46">
        <f>IF(AND(E$146&gt;=$B$137,MOD(E$146-$B$137,$B$138)=0),$B$128*$B$139^((E$146-$B$137)/$B$138),0)</f>
        <v>0.0</v>
      </c>
      <c r="F148" s="46">
        <f>IF(AND(F$146&gt;=$B$137,MOD(F$146-$B$137,$B$138)=0),$B$128*$B$139^((F$146-$B$137)/$B$138),0)</f>
        <v>16.0</v>
      </c>
      <c r="G148" s="46">
        <f>IF(AND(G$146&gt;=$B$137,MOD(G$146-$B$137,$B$138)=0),$B$128*$B$139^((G$146-$B$137)/$B$138),0)</f>
        <v>0.0</v>
      </c>
      <c r="H148" s="46">
        <f>IF(AND(H$146&gt;=$B$137,MOD(H$146-$B$137,$B$138)=0),$B$128*$B$139^((H$146-$B$137)/$B$138),0)</f>
        <v>0.0</v>
      </c>
      <c r="I148" s="46">
        <f>IF(AND(I$146&gt;=$B$137,MOD(I$146-$B$137,$B$138)=0),$B$128*$B$139^((I$146-$B$137)/$B$138),0)</f>
        <v>0.0</v>
      </c>
      <c r="J148" s="46">
        <f>IF(AND(J$146&gt;=$B$137,MOD(J$146-$B$137,$B$138)=0),$B$128*$B$139^((J$146-$B$137)/$B$138),0)</f>
        <v>9.6</v>
      </c>
      <c r="K148" s="46">
        <f>IF(AND(K$146&gt;=$B$137,MOD(K$146-$B$137,$B$138)=0),$B$128*$B$139^((K$146-$B$137)/$B$138),0)</f>
        <v>0.0</v>
      </c>
      <c r="L148" s="46">
        <f>IF(AND(L$146&gt;=$B$137,MOD(L$146-$B$137,$B$138)=0),$B$128*$B$139^((L$146-$B$137)/$B$138),0)</f>
        <v>0.0</v>
      </c>
      <c r="M148" s="46">
        <f>IF(AND(M$146&gt;=$B$137,MOD(M$146-$B$137,$B$138)=0),$B$128*$B$139^((M$146-$B$137)/$B$138),0)</f>
        <v>0.0</v>
      </c>
      <c r="N148" s="46">
        <f>IF(AND(N$146&gt;=$B$137,MOD(N$146-$B$137,$B$138)=0),$B$128*$B$139^((N$146-$B$137)/$B$138),0)</f>
        <v>5.76</v>
      </c>
      <c r="O148" s="46">
        <f>IF(AND(O$146&gt;=$B$137,MOD(O$146-$B$137,$B$138)=0),$B$128*$B$139^((O$146-$B$137)/$B$138),0)</f>
        <v>0.0</v>
      </c>
      <c r="P148" s="46">
        <f>IF(AND(P$146&gt;=$B$137,MOD(P$146-$B$137,$B$138)=0),$B$128*$B$139^((P$146-$B$137)/$B$138),0)</f>
        <v>0.0</v>
      </c>
      <c r="Q148" s="46">
        <f>IF(AND(Q$146&gt;=$B$137,MOD(Q$146-$B$137,$B$138)=0),$B$128*$B$139^((Q$146-$B$137)/$B$138),0)</f>
        <v>0.0</v>
      </c>
      <c r="R148" s="46">
        <f>IF(AND(R$146&gt;=$B$137,MOD(R$146-$B$137,$B$138)=0),$B$128*$B$139^((R$146-$B$137)/$B$138),0)</f>
        <v>3.4559999999999995</v>
      </c>
      <c r="S148" s="46">
        <f>IF(AND(S$146&gt;=$B$137,MOD(S$146-$B$137,$B$138)=0),$B$128*$B$139^((S$146-$B$137)/$B$138),0)</f>
        <v>0.0</v>
      </c>
      <c r="T148" s="46">
        <f>IF(AND(T$146&gt;=$B$137,MOD(T$146-$B$137,$B$138)=0),$B$128*$B$139^((T$146-$B$137)/$B$138),0)</f>
        <v>0.0</v>
      </c>
      <c r="U148" s="46">
        <f>IF(AND(U$146&gt;=$B$137,MOD(U$146-$B$137,$B$138)=0),$B$128*$B$139^((U$146-$B$137)/$B$138),0)</f>
        <v>0.0</v>
      </c>
      <c r="V148" s="46">
        <f>IF(AND(V$146&gt;=$B$137,MOD(V$146-$B$137,$B$138)=0),$B$128*$B$139^((V$146-$B$137)/$B$138),0)</f>
        <v>2.0736</v>
      </c>
      <c r="W148" s="46">
        <f>IF(AND(W$146&gt;=$B$137,MOD(W$146-$B$137,$B$138)=0),$B$128*$B$139^((W$146-$B$137)/$B$138),0)</f>
        <v>0.0</v>
      </c>
      <c r="X148" s="46">
        <f>IF(AND(X$146&gt;=$B$137,MOD(X$146-$B$137,$B$138)=0),$B$128*$B$139^((X$146-$B$137)/$B$138),0)</f>
        <v>0.0</v>
      </c>
      <c r="Y148" s="46">
        <f>IF(AND(Y$146&gt;=$B$137,MOD(Y$146-$B$137,$B$138)=0),$B$128*$B$139^((Y$146-$B$137)/$B$138),0)</f>
        <v>0.0</v>
      </c>
      <c r="Z148" s="46">
        <f>IF(AND(Z$146&gt;=$B$137,MOD(Z$146-$B$137,$B$138)=0),$B$128*$B$139^((Z$146-$B$137)/$B$138),0)</f>
        <v>1.2441599999999997</v>
      </c>
    </row>
    <row r="149">
      <c r="A149" s="3" t="inlineStr">
        <is>
          <t>Contribution - one-time-only segment</t>
        </is>
      </c>
      <c r="B149" s="30">
        <f>SUM(C149:Z149)</f>
        <v>319.94856480000044</v>
      </c>
      <c r="C149" s="33">
        <f>IF(C$146=1,$B$129*$B$141,0)</f>
        <v>319.94856480000044</v>
      </c>
      <c r="D149" s="33">
        <f>IF(D$146=1,$B$129*$B$141,0)</f>
        <v>0.0</v>
      </c>
      <c r="E149" s="33">
        <f>IF(E$146=1,$B$129*$B$141,0)</f>
        <v>0.0</v>
      </c>
      <c r="F149" s="33">
        <f>IF(F$146=1,$B$129*$B$141,0)</f>
        <v>0.0</v>
      </c>
      <c r="G149" s="33">
        <f>IF(G$146=1,$B$129*$B$141,0)</f>
        <v>0.0</v>
      </c>
      <c r="H149" s="33">
        <f>IF(H$146=1,$B$129*$B$141,0)</f>
        <v>0.0</v>
      </c>
      <c r="I149" s="33">
        <f>IF(I$146=1,$B$129*$B$141,0)</f>
        <v>0.0</v>
      </c>
      <c r="J149" s="33">
        <f>IF(J$146=1,$B$129*$B$141,0)</f>
        <v>0.0</v>
      </c>
      <c r="K149" s="33">
        <f>IF(K$146=1,$B$129*$B$141,0)</f>
        <v>0.0</v>
      </c>
      <c r="L149" s="33">
        <f>IF(L$146=1,$B$129*$B$141,0)</f>
        <v>0.0</v>
      </c>
      <c r="M149" s="33">
        <f>IF(M$146=1,$B$129*$B$141,0)</f>
        <v>0.0</v>
      </c>
      <c r="N149" s="33">
        <f>IF(N$146=1,$B$129*$B$141,0)</f>
        <v>0.0</v>
      </c>
      <c r="O149" s="33">
        <f>IF(O$146=1,$B$129*$B$141,0)</f>
        <v>0.0</v>
      </c>
      <c r="P149" s="33">
        <f>IF(P$146=1,$B$129*$B$141,0)</f>
        <v>0.0</v>
      </c>
      <c r="Q149" s="33">
        <f>IF(Q$146=1,$B$129*$B$141,0)</f>
        <v>0.0</v>
      </c>
      <c r="R149" s="33">
        <f>IF(R$146=1,$B$129*$B$141,0)</f>
        <v>0.0</v>
      </c>
      <c r="S149" s="33">
        <f>IF(S$146=1,$B$129*$B$141,0)</f>
        <v>0.0</v>
      </c>
      <c r="T149" s="33">
        <f>IF(T$146=1,$B$129*$B$141,0)</f>
        <v>0.0</v>
      </c>
      <c r="U149" s="33">
        <f>IF(U$146=1,$B$129*$B$141,0)</f>
        <v>0.0</v>
      </c>
      <c r="V149" s="33">
        <f>IF(V$146=1,$B$129*$B$141,0)</f>
        <v>0.0</v>
      </c>
      <c r="W149" s="33">
        <f>IF(W$146=1,$B$129*$B$141,0)</f>
        <v>0.0</v>
      </c>
      <c r="X149" s="33">
        <f>IF(X$146=1,$B$129*$B$141,0)</f>
        <v>0.0</v>
      </c>
      <c r="Y149" s="33">
        <f>IF(Y$146=1,$B$129*$B$141,0)</f>
        <v>0.0</v>
      </c>
      <c r="Z149" s="33">
        <f>IF(Z$146=1,$B$129*$B$141,0)</f>
        <v>0.0</v>
      </c>
    </row>
    <row r="150">
      <c r="A150" s="3" t="inlineStr">
        <is>
          <t>Contribution - occasional repeat segment</t>
        </is>
      </c>
      <c r="B150" s="30">
        <f>SUM(C150:Z150)</f>
        <v>11.663646083200131</v>
      </c>
      <c r="C150" s="33">
        <f>IF(C$146=1,$B$128*$B$141,0)+C148*$B$133</f>
        <v>79.98714120000011</v>
      </c>
      <c r="D150" s="33">
        <f>IF(D$146=1,$B$128*$B$141,0)+D148*$B$133</f>
        <v>0.0</v>
      </c>
      <c r="E150" s="33">
        <f>IF(E$146=1,$B$128*$B$141,0)+E148*$B$133</f>
        <v>0.0</v>
      </c>
      <c r="F150" s="33">
        <f>IF(F$146=1,$B$128*$B$141,0)+F148*$B$133</f>
        <v>-28.666879999999992</v>
      </c>
      <c r="G150" s="33">
        <f>IF(G$146=1,$B$128*$B$141,0)+G148*$B$133</f>
        <v>0.0</v>
      </c>
      <c r="H150" s="33">
        <f>IF(H$146=1,$B$128*$B$141,0)+H148*$B$133</f>
        <v>0.0</v>
      </c>
      <c r="I150" s="33">
        <f>IF(I$146=1,$B$128*$B$141,0)+I148*$B$133</f>
        <v>0.0</v>
      </c>
      <c r="J150" s="33">
        <f>IF(J$146=1,$B$128*$B$141,0)+J148*$B$133</f>
        <v>-17.200127999999996</v>
      </c>
      <c r="K150" s="33">
        <f>IF(K$146=1,$B$128*$B$141,0)+K148*$B$133</f>
        <v>0.0</v>
      </c>
      <c r="L150" s="33">
        <f>IF(L$146=1,$B$128*$B$141,0)+L148*$B$133</f>
        <v>0.0</v>
      </c>
      <c r="M150" s="33">
        <f>IF(M$146=1,$B$128*$B$141,0)+M148*$B$133</f>
        <v>0.0</v>
      </c>
      <c r="N150" s="33">
        <f>IF(N$146=1,$B$128*$B$141,0)+N148*$B$133</f>
        <v>-10.320076799999997</v>
      </c>
      <c r="O150" s="33">
        <f>IF(O$146=1,$B$128*$B$141,0)+O148*$B$133</f>
        <v>0.0</v>
      </c>
      <c r="P150" s="33">
        <f>IF(P$146=1,$B$128*$B$141,0)+P148*$B$133</f>
        <v>0.0</v>
      </c>
      <c r="Q150" s="33">
        <f>IF(Q$146=1,$B$128*$B$141,0)+Q148*$B$133</f>
        <v>0.0</v>
      </c>
      <c r="R150" s="33">
        <f>IF(R$146=1,$B$128*$B$141,0)+R148*$B$133</f>
        <v>-6.192046079999997</v>
      </c>
      <c r="S150" s="33">
        <f>IF(S$146=1,$B$128*$B$141,0)+S148*$B$133</f>
        <v>0.0</v>
      </c>
      <c r="T150" s="33">
        <f>IF(T$146=1,$B$128*$B$141,0)+T148*$B$133</f>
        <v>0.0</v>
      </c>
      <c r="U150" s="33">
        <f>IF(U$146=1,$B$128*$B$141,0)+U148*$B$133</f>
        <v>0.0</v>
      </c>
      <c r="V150" s="33">
        <f>IF(V$146=1,$B$128*$B$141,0)+V148*$B$133</f>
        <v>-3.7152276479999986</v>
      </c>
      <c r="W150" s="33">
        <f>IF(W$146=1,$B$128*$B$141,0)+W148*$B$133</f>
        <v>0.0</v>
      </c>
      <c r="X150" s="33">
        <f>IF(X$146=1,$B$128*$B$141,0)+X148*$B$133</f>
        <v>0.0</v>
      </c>
      <c r="Y150" s="33">
        <f>IF(Y$146=1,$B$128*$B$141,0)+Y148*$B$133</f>
        <v>0.0</v>
      </c>
      <c r="Z150" s="33">
        <f>IF(Z$146=1,$B$128*$B$141,0)+Z148*$B$133</f>
        <v>-2.229136588799999</v>
      </c>
    </row>
    <row r="151">
      <c r="A151" s="3" t="inlineStr">
        <is>
          <t>Contribution - subscriber segment</t>
        </is>
      </c>
      <c r="B151" s="30">
        <f>SUM(C151:Z151)</f>
        <v>-116.61348968109601</v>
      </c>
      <c r="C151" s="33">
        <f>IF(C$146=1,$B$127*$B$140,0)+C147*$B$132</f>
        <v>99.98392650000014</v>
      </c>
      <c r="D151" s="33">
        <f>IF(D$146=1,$B$127*$B$140,0)+D147*$B$132</f>
        <v>0.0</v>
      </c>
      <c r="E151" s="33">
        <f>IF(E$146=1,$B$127*$B$140,0)+E147*$B$132</f>
        <v>0.0</v>
      </c>
      <c r="F151" s="33">
        <f>IF(F$146=1,$B$127*$B$140,0)+F147*$B$132</f>
        <v>-50.22026558259832</v>
      </c>
      <c r="G151" s="33">
        <f>IF(G$146=1,$B$127*$B$140,0)+G147*$B$132</f>
        <v>0.0</v>
      </c>
      <c r="H151" s="33">
        <f>IF(H$146=1,$B$127*$B$140,0)+H147*$B$132</f>
        <v>0.0</v>
      </c>
      <c r="I151" s="33">
        <f>IF(I$146=1,$B$127*$B$140,0)+I147*$B$132</f>
        <v>-41.79705438502531</v>
      </c>
      <c r="J151" s="33">
        <f>IF(J$146=1,$B$127*$B$140,0)+J147*$B$132</f>
        <v>0.0</v>
      </c>
      <c r="K151" s="33">
        <f>IF(K$146=1,$B$127*$B$140,0)+K147*$B$132</f>
        <v>0.0</v>
      </c>
      <c r="L151" s="33">
        <f>IF(L$146=1,$B$127*$B$140,0)+L147*$B$132</f>
        <v>-34.786629162513016</v>
      </c>
      <c r="M151" s="33">
        <f>IF(M$146=1,$B$127*$B$140,0)+M147*$B$132</f>
        <v>0.0</v>
      </c>
      <c r="N151" s="33">
        <f>IF(N$146=1,$B$127*$B$140,0)+N147*$B$132</f>
        <v>0.0</v>
      </c>
      <c r="O151" s="33">
        <f>IF(O$146=1,$B$127*$B$140,0)+O147*$B$132</f>
        <v>-28.952029904857337</v>
      </c>
      <c r="P151" s="33">
        <f>IF(P$146=1,$B$127*$B$140,0)+P147*$B$132</f>
        <v>0.0</v>
      </c>
      <c r="Q151" s="33">
        <f>IF(Q$146=1,$B$127*$B$140,0)+Q147*$B$132</f>
        <v>0.0</v>
      </c>
      <c r="R151" s="33">
        <f>IF(R$146=1,$B$127*$B$140,0)+R147*$B$132</f>
        <v>-24.09604080049932</v>
      </c>
      <c r="S151" s="33">
        <f>IF(S$146=1,$B$127*$B$140,0)+S147*$B$132</f>
        <v>0.0</v>
      </c>
      <c r="T151" s="33">
        <f>IF(T$146=1,$B$127*$B$140,0)+T147*$B$132</f>
        <v>0.0</v>
      </c>
      <c r="U151" s="33">
        <f>IF(U$146=1,$B$127*$B$140,0)+U147*$B$132</f>
        <v>-20.054524127232842</v>
      </c>
      <c r="V151" s="33">
        <f>IF(V$146=1,$B$127*$B$140,0)+V147*$B$132</f>
        <v>0.0</v>
      </c>
      <c r="W151" s="33">
        <f>IF(W$146=1,$B$127*$B$140,0)+W147*$B$132</f>
        <v>0.0</v>
      </c>
      <c r="X151" s="33">
        <f>IF(X$146=1,$B$127*$B$140,0)+X147*$B$132</f>
        <v>-16.690872218369996</v>
      </c>
      <c r="Y151" s="33">
        <f>IF(Y$146=1,$B$127*$B$140,0)+Y147*$B$132</f>
        <v>0.0</v>
      </c>
      <c r="Z151" s="33">
        <f>IF(Z$146=1,$B$127*$B$140,0)+Z147*$B$132</f>
        <v>0.0</v>
      </c>
    </row>
    <row r="152">
      <c r="A152" s="16" t="inlineStr">
        <is>
          <t>Total contribution before CAC</t>
        </is>
      </c>
      <c r="B152" s="30">
        <f>SUM(C152:Z152)</f>
        <v>214.99872120210458</v>
      </c>
      <c r="C152" s="30">
        <f>SUM(C149:C151)</f>
        <v>499.9196325000007</v>
      </c>
      <c r="D152" s="30">
        <f>SUM(D149:D151)</f>
        <v>0.0</v>
      </c>
      <c r="E152" s="30">
        <f>SUM(E149:E151)</f>
        <v>0.0</v>
      </c>
      <c r="F152" s="30">
        <f>SUM(F149:F151)</f>
        <v>-78.88714558259832</v>
      </c>
      <c r="G152" s="30">
        <f>SUM(G149:G151)</f>
        <v>0.0</v>
      </c>
      <c r="H152" s="30">
        <f>SUM(H149:H151)</f>
        <v>0.0</v>
      </c>
      <c r="I152" s="30">
        <f>SUM(I149:I151)</f>
        <v>-41.79705438502531</v>
      </c>
      <c r="J152" s="30">
        <f>SUM(J149:J151)</f>
        <v>-17.200127999999996</v>
      </c>
      <c r="K152" s="30">
        <f>SUM(K149:K151)</f>
        <v>0.0</v>
      </c>
      <c r="L152" s="30">
        <f>SUM(L149:L151)</f>
        <v>-34.786629162513016</v>
      </c>
      <c r="M152" s="30">
        <f>SUM(M149:M151)</f>
        <v>0.0</v>
      </c>
      <c r="N152" s="30">
        <f>SUM(N149:N151)</f>
        <v>-10.320076799999997</v>
      </c>
      <c r="O152" s="30">
        <f>SUM(O149:O151)</f>
        <v>-28.952029904857337</v>
      </c>
      <c r="P152" s="30">
        <f>SUM(P149:P151)</f>
        <v>0.0</v>
      </c>
      <c r="Q152" s="30">
        <f>SUM(Q149:Q151)</f>
        <v>0.0</v>
      </c>
      <c r="R152" s="30">
        <f>SUM(R149:R151)</f>
        <v>-30.288086880499318</v>
      </c>
      <c r="S152" s="30">
        <f>SUM(S149:S151)</f>
        <v>0.0</v>
      </c>
      <c r="T152" s="30">
        <f>SUM(T149:T151)</f>
        <v>0.0</v>
      </c>
      <c r="U152" s="30">
        <f>SUM(U149:U151)</f>
        <v>-20.054524127232842</v>
      </c>
      <c r="V152" s="30">
        <f>SUM(V149:V151)</f>
        <v>-3.7152276479999986</v>
      </c>
      <c r="W152" s="30">
        <f>SUM(W149:W151)</f>
        <v>0.0</v>
      </c>
      <c r="X152" s="30">
        <f>SUM(X149:X151)</f>
        <v>-16.690872218369996</v>
      </c>
      <c r="Y152" s="30">
        <f>SUM(Y149:Y151)</f>
        <v>0.0</v>
      </c>
      <c r="Z152" s="30">
        <f>SUM(Z149:Z151)</f>
        <v>-2.229136588799999</v>
      </c>
    </row>
    <row r="153">
      <c r="A153" s="3" t="inlineStr">
        <is>
          <t>CAC (paid, month 1)</t>
        </is>
      </c>
      <c r="B153" s="30">
        <f>SUM(C153:Z153)</f>
        <v>-4500.0</v>
      </c>
      <c r="C153" s="33">
        <f>IF(C$146=1,-$B$124*$B$131,0)</f>
        <v>-4500.0</v>
      </c>
      <c r="D153" s="33">
        <f>IF(D$146=1,-$B$124*$B$131,0)</f>
        <v>0.0</v>
      </c>
      <c r="E153" s="33">
        <f>IF(E$146=1,-$B$124*$B$131,0)</f>
        <v>0.0</v>
      </c>
      <c r="F153" s="33">
        <f>IF(F$146=1,-$B$124*$B$131,0)</f>
        <v>0.0</v>
      </c>
      <c r="G153" s="33">
        <f>IF(G$146=1,-$B$124*$B$131,0)</f>
        <v>0.0</v>
      </c>
      <c r="H153" s="33">
        <f>IF(H$146=1,-$B$124*$B$131,0)</f>
        <v>0.0</v>
      </c>
      <c r="I153" s="33">
        <f>IF(I$146=1,-$B$124*$B$131,0)</f>
        <v>0.0</v>
      </c>
      <c r="J153" s="33">
        <f>IF(J$146=1,-$B$124*$B$131,0)</f>
        <v>0.0</v>
      </c>
      <c r="K153" s="33">
        <f>IF(K$146=1,-$B$124*$B$131,0)</f>
        <v>0.0</v>
      </c>
      <c r="L153" s="33">
        <f>IF(L$146=1,-$B$124*$B$131,0)</f>
        <v>0.0</v>
      </c>
      <c r="M153" s="33">
        <f>IF(M$146=1,-$B$124*$B$131,0)</f>
        <v>0.0</v>
      </c>
      <c r="N153" s="33">
        <f>IF(N$146=1,-$B$124*$B$131,0)</f>
        <v>0.0</v>
      </c>
      <c r="O153" s="33">
        <f>IF(O$146=1,-$B$124*$B$131,0)</f>
        <v>0.0</v>
      </c>
      <c r="P153" s="33">
        <f>IF(P$146=1,-$B$124*$B$131,0)</f>
        <v>0.0</v>
      </c>
      <c r="Q153" s="33">
        <f>IF(Q$146=1,-$B$124*$B$131,0)</f>
        <v>0.0</v>
      </c>
      <c r="R153" s="33">
        <f>IF(R$146=1,-$B$124*$B$131,0)</f>
        <v>0.0</v>
      </c>
      <c r="S153" s="33">
        <f>IF(S$146=1,-$B$124*$B$131,0)</f>
        <v>0.0</v>
      </c>
      <c r="T153" s="33">
        <f>IF(T$146=1,-$B$124*$B$131,0)</f>
        <v>0.0</v>
      </c>
      <c r="U153" s="33">
        <f>IF(U$146=1,-$B$124*$B$131,0)</f>
        <v>0.0</v>
      </c>
      <c r="V153" s="33">
        <f>IF(V$146=1,-$B$124*$B$131,0)</f>
        <v>0.0</v>
      </c>
      <c r="W153" s="33">
        <f>IF(W$146=1,-$B$124*$B$131,0)</f>
        <v>0.0</v>
      </c>
      <c r="X153" s="33">
        <f>IF(X$146=1,-$B$124*$B$131,0)</f>
        <v>0.0</v>
      </c>
      <c r="Y153" s="33">
        <f>IF(Y$146=1,-$B$124*$B$131,0)</f>
        <v>0.0</v>
      </c>
      <c r="Z153" s="33">
        <f>IF(Z$146=1,-$B$124*$B$131,0)</f>
        <v>0.0</v>
      </c>
    </row>
    <row r="154">
      <c r="A154" s="3" t="inlineStr">
        <is>
          <t>Net contribution after CAC</t>
        </is>
      </c>
      <c r="B154" s="30">
        <f>SUM(C154:Z154)</f>
        <v>-4285.001278797896</v>
      </c>
      <c r="C154" s="33">
        <f>C152+C153</f>
        <v>-4000.0803674999993</v>
      </c>
      <c r="D154" s="33">
        <f>D152+D153</f>
        <v>0.0</v>
      </c>
      <c r="E154" s="33">
        <f>E152+E153</f>
        <v>0.0</v>
      </c>
      <c r="F154" s="33">
        <f>F152+F153</f>
        <v>-78.88714558259832</v>
      </c>
      <c r="G154" s="33">
        <f>G152+G153</f>
        <v>0.0</v>
      </c>
      <c r="H154" s="33">
        <f>H152+H153</f>
        <v>0.0</v>
      </c>
      <c r="I154" s="33">
        <f>I152+I153</f>
        <v>-41.79705438502531</v>
      </c>
      <c r="J154" s="33">
        <f>J152+J153</f>
        <v>-17.200127999999996</v>
      </c>
      <c r="K154" s="33">
        <f>K152+K153</f>
        <v>0.0</v>
      </c>
      <c r="L154" s="33">
        <f>L152+L153</f>
        <v>-34.786629162513016</v>
      </c>
      <c r="M154" s="33">
        <f>M152+M153</f>
        <v>0.0</v>
      </c>
      <c r="N154" s="33">
        <f>N152+N153</f>
        <v>-10.320076799999997</v>
      </c>
      <c r="O154" s="33">
        <f>O152+O153</f>
        <v>-28.952029904857337</v>
      </c>
      <c r="P154" s="33">
        <f>P152+P153</f>
        <v>0.0</v>
      </c>
      <c r="Q154" s="33">
        <f>Q152+Q153</f>
        <v>0.0</v>
      </c>
      <c r="R154" s="33">
        <f>R152+R153</f>
        <v>-30.288086880499318</v>
      </c>
      <c r="S154" s="33">
        <f>S152+S153</f>
        <v>0.0</v>
      </c>
      <c r="T154" s="33">
        <f>T152+T153</f>
        <v>0.0</v>
      </c>
      <c r="U154" s="33">
        <f>U152+U153</f>
        <v>-20.054524127232842</v>
      </c>
      <c r="V154" s="33">
        <f>V152+V153</f>
        <v>-3.7152276479999986</v>
      </c>
      <c r="W154" s="33">
        <f>W152+W153</f>
        <v>0.0</v>
      </c>
      <c r="X154" s="33">
        <f>X152+X153</f>
        <v>-16.690872218369996</v>
      </c>
      <c r="Y154" s="33">
        <f>Y152+Y153</f>
        <v>0.0</v>
      </c>
      <c r="Z154" s="33">
        <f>Z152+Z153</f>
        <v>-2.229136588799999</v>
      </c>
    </row>
    <row r="155">
      <c r="A155" s="16" t="inlineStr">
        <is>
          <t>CUMULATIVE contribution after CAC</t>
        </is>
      </c>
      <c r="C155" s="49">
        <f>C154</f>
        <v>-4000.0803674999993</v>
      </c>
      <c r="D155" s="49">
        <f>C155+D154</f>
        <v>-4000.0803674999993</v>
      </c>
      <c r="E155" s="49">
        <f>D155+E154</f>
        <v>-4000.0803674999993</v>
      </c>
      <c r="F155" s="49">
        <f>E155+F154</f>
        <v>-4078.9675130825976</v>
      </c>
      <c r="G155" s="49">
        <f>F155+G154</f>
        <v>-4078.9675130825976</v>
      </c>
      <c r="H155" s="49">
        <f>G155+H154</f>
        <v>-4078.9675130825976</v>
      </c>
      <c r="I155" s="49">
        <f>H155+I154</f>
        <v>-4120.764567467623</v>
      </c>
      <c r="J155" s="49">
        <f>I155+J154</f>
        <v>-4137.964695467624</v>
      </c>
      <c r="K155" s="49">
        <f>J155+K154</f>
        <v>-4137.964695467624</v>
      </c>
      <c r="L155" s="49">
        <f>K155+L154</f>
        <v>-4172.751324630137</v>
      </c>
      <c r="M155" s="49">
        <f>L155+M154</f>
        <v>-4172.751324630137</v>
      </c>
      <c r="N155" s="49">
        <f>M155+N154</f>
        <v>-4183.071401430137</v>
      </c>
      <c r="O155" s="49">
        <f>N155+O154</f>
        <v>-4212.023431334994</v>
      </c>
      <c r="P155" s="49">
        <f>O155+P154</f>
        <v>-4212.023431334994</v>
      </c>
      <c r="Q155" s="49">
        <f>P155+Q154</f>
        <v>-4212.023431334994</v>
      </c>
      <c r="R155" s="49">
        <f>Q155+R154</f>
        <v>-4242.311518215493</v>
      </c>
      <c r="S155" s="49">
        <f>R155+S154</f>
        <v>-4242.311518215493</v>
      </c>
      <c r="T155" s="49">
        <f>S155+T154</f>
        <v>-4242.311518215493</v>
      </c>
      <c r="U155" s="49">
        <f>T155+U154</f>
        <v>-4262.366042342726</v>
      </c>
      <c r="V155" s="49">
        <f>U155+V154</f>
        <v>-4266.0812699907265</v>
      </c>
      <c r="W155" s="49">
        <f>V155+W154</f>
        <v>-4266.0812699907265</v>
      </c>
      <c r="X155" s="49">
        <f>W155+X154</f>
        <v>-4282.772142209096</v>
      </c>
      <c r="Y155" s="49">
        <f>X155+Y154</f>
        <v>-4282.772142209096</v>
      </c>
      <c r="Z155" s="49">
        <f>Y155+Z154</f>
        <v>-4285.001278797897</v>
      </c>
    </row>
    <row r="156">
      <c r="A156" s="3" t="inlineStr">
        <is>
          <t>Cumulative contribution before CAC, per customer</t>
        </is>
      </c>
      <c r="C156" s="26">
        <f>SUM($C152:C152)/$B$124</f>
        <v>4.999196325000007</v>
      </c>
      <c r="D156" s="26">
        <f>SUM($C152:D152)/$B$124</f>
        <v>4.999196325000007</v>
      </c>
      <c r="E156" s="26">
        <f>SUM($C152:E152)/$B$124</f>
        <v>4.999196325000007</v>
      </c>
      <c r="F156" s="26">
        <f>SUM($C152:F152)/$B$124</f>
        <v>4.210324869174023</v>
      </c>
      <c r="G156" s="26">
        <f>SUM($C152:G152)/$B$124</f>
        <v>4.210324869174023</v>
      </c>
      <c r="H156" s="26">
        <f>SUM($C152:H152)/$B$124</f>
        <v>4.210324869174023</v>
      </c>
      <c r="I156" s="26">
        <f>SUM($C152:I152)/$B$124</f>
        <v>3.792354325323771</v>
      </c>
      <c r="J156" s="26">
        <f>SUM($C152:J152)/$B$124</f>
        <v>3.620353045323771</v>
      </c>
      <c r="K156" s="26">
        <f>SUM($C152:K152)/$B$124</f>
        <v>3.620353045323771</v>
      </c>
      <c r="L156" s="26">
        <f>SUM($C152:L152)/$B$124</f>
        <v>3.272486753698641</v>
      </c>
      <c r="M156" s="26">
        <f>SUM($C152:M152)/$B$124</f>
        <v>3.272486753698641</v>
      </c>
      <c r="N156" s="26">
        <f>SUM($C152:N152)/$B$124</f>
        <v>3.1692859856986404</v>
      </c>
      <c r="O156" s="26">
        <f>SUM($C152:O152)/$B$124</f>
        <v>2.879765686650067</v>
      </c>
      <c r="P156" s="26">
        <f>SUM($C152:P152)/$B$124</f>
        <v>2.879765686650067</v>
      </c>
      <c r="Q156" s="26">
        <f>SUM($C152:Q152)/$B$124</f>
        <v>2.879765686650067</v>
      </c>
      <c r="R156" s="26">
        <f>SUM($C152:R152)/$B$124</f>
        <v>2.576884817845074</v>
      </c>
      <c r="S156" s="26">
        <f>SUM($C152:S152)/$B$124</f>
        <v>2.576884817845074</v>
      </c>
      <c r="T156" s="26">
        <f>SUM($C152:T152)/$B$124</f>
        <v>2.576884817845074</v>
      </c>
      <c r="U156" s="26">
        <f>SUM($C152:U152)/$B$124</f>
        <v>2.3763395765727457</v>
      </c>
      <c r="V156" s="26">
        <f>SUM($C152:V152)/$B$124</f>
        <v>2.3391873000927457</v>
      </c>
      <c r="W156" s="26">
        <f>SUM($C152:W152)/$B$124</f>
        <v>2.3391873000927457</v>
      </c>
      <c r="X156" s="26">
        <f>SUM($C152:X152)/$B$124</f>
        <v>2.172278577909046</v>
      </c>
      <c r="Y156" s="26">
        <f>SUM($C152:Y152)/$B$124</f>
        <v>2.172278577909046</v>
      </c>
      <c r="Z156" s="26">
        <f>SUM($C152:Z152)/$B$124</f>
        <v>2.149987212021046</v>
      </c>
    </row>
    <row r="157">
      <c r="A157" s="3" t="inlineStr">
        <is>
          <t>Gross revenue (reference only - NOT used for LTV)</t>
        </is>
      </c>
      <c r="B157" s="30">
        <f>SUM(C157:Z157)</f>
        <v>7115.253052787152</v>
      </c>
      <c r="C157" s="50">
        <f>IF(C$146=1,$B$124*$B$142,0)+C147*$B$143+C148*$B$144</f>
        <v>5498.75</v>
      </c>
      <c r="D157" s="50">
        <f>IF(D$146=1,$B$124*$B$142,0)+D147*$B$143+D148*$B$144</f>
        <v>0.0</v>
      </c>
      <c r="E157" s="50">
        <f>IF(E$146=1,$B$124*$B$142,0)+E147*$B$143+E148*$B$144</f>
        <v>0.0</v>
      </c>
      <c r="F157" s="50">
        <f>IF(F$146=1,$B$124*$B$142,0)+F147*$B$143+F148*$B$144</f>
        <v>496.42197298280496</v>
      </c>
      <c r="G157" s="50">
        <f>IF(G$146=1,$B$124*$B$142,0)+G147*$B$143+G148*$B$144</f>
        <v>0.0</v>
      </c>
      <c r="H157" s="50">
        <f>IF(H$146=1,$B$124*$B$142,0)+H147*$B$143+H148*$B$144</f>
        <v>0.0</v>
      </c>
      <c r="I157" s="50">
        <f>IF(I$146=1,$B$124*$B$142,0)+I147*$B$143+I148*$B$144</f>
        <v>186.91388485829114</v>
      </c>
      <c r="J157" s="50">
        <f>IF(J$146=1,$B$124*$B$142,0)+J147*$B$143+J148*$B$144</f>
        <v>163.10399999999998</v>
      </c>
      <c r="K157" s="50">
        <f>IF(K$146=1,$B$124*$B$142,0)+K147*$B$143+K148*$B$144</f>
        <v>0.0</v>
      </c>
      <c r="L157" s="50">
        <f>IF(L$146=1,$B$124*$B$142,0)+L147*$B$143+L148*$B$144</f>
        <v>155.56368967999688</v>
      </c>
      <c r="M157" s="50">
        <f>IF(M$146=1,$B$124*$B$142,0)+M147*$B$143+M148*$B$144</f>
        <v>0.0</v>
      </c>
      <c r="N157" s="50">
        <f>IF(N$146=1,$B$124*$B$142,0)+N147*$B$143+N148*$B$144</f>
        <v>97.8624</v>
      </c>
      <c r="O157" s="50">
        <f>IF(O$146=1,$B$124*$B$142,0)+O147*$B$143+O148*$B$144</f>
        <v>129.47171669564122</v>
      </c>
      <c r="P157" s="50">
        <f>IF(P$146=1,$B$124*$B$142,0)+P147*$B$143+P148*$B$144</f>
        <v>0.0</v>
      </c>
      <c r="Q157" s="50">
        <f>IF(Q$146=1,$B$124*$B$142,0)+Q147*$B$143+Q148*$B$144</f>
        <v>0.0</v>
      </c>
      <c r="R157" s="50">
        <f>IF(R$146=1,$B$124*$B$142,0)+R147*$B$143+R148*$B$144</f>
        <v>166.47346879179995</v>
      </c>
      <c r="S157" s="50">
        <f>IF(S$146=1,$B$124*$B$142,0)+S147*$B$143+S148*$B$144</f>
        <v>0.0</v>
      </c>
      <c r="T157" s="50">
        <f>IF(T$146=1,$B$124*$B$142,0)+T147*$B$143+T148*$B$144</f>
        <v>0.0</v>
      </c>
      <c r="U157" s="50">
        <f>IF(U$146=1,$B$124*$B$142,0)+U147*$B$143+U148*$B$144</f>
        <v>89.68261205862368</v>
      </c>
      <c r="V157" s="50">
        <f>IF(V$146=1,$B$124*$B$142,0)+V147*$B$143+V148*$B$144</f>
        <v>35.230464</v>
      </c>
      <c r="W157" s="50">
        <f>IF(W$146=1,$B$124*$B$142,0)+W147*$B$143+W148*$B$144</f>
        <v>0.0</v>
      </c>
      <c r="X157" s="50">
        <f>IF(X$146=1,$B$124*$B$142,0)+X147*$B$143+X148*$B$144</f>
        <v>74.64056531999488</v>
      </c>
      <c r="Y157" s="50">
        <f>IF(Y$146=1,$B$124*$B$142,0)+Y147*$B$143+Y148*$B$144</f>
        <v>0.0</v>
      </c>
      <c r="Z157" s="50">
        <f>IF(Z$146=1,$B$124*$B$142,0)+Z147*$B$143+Z148*$B$144</f>
        <v>21.138278399999994</v>
      </c>
    </row>
    <row r="158">
      <c r="A158" s="3" t="inlineStr">
        <is>
          <t>Payback helper (month if cumulative &gt;= 0, else 99)</t>
        </is>
      </c>
      <c r="C158" s="51">
        <f>IF(C155&gt;=0,C$146,99)</f>
        <v>99.0</v>
      </c>
      <c r="D158" s="51">
        <f>IF(D155&gt;=0,D$146,99)</f>
        <v>99.0</v>
      </c>
      <c r="E158" s="51">
        <f>IF(E155&gt;=0,E$146,99)</f>
        <v>99.0</v>
      </c>
      <c r="F158" s="51">
        <f>IF(F155&gt;=0,F$146,99)</f>
        <v>99.0</v>
      </c>
      <c r="G158" s="51">
        <f>IF(G155&gt;=0,G$146,99)</f>
        <v>99.0</v>
      </c>
      <c r="H158" s="51">
        <f>IF(H155&gt;=0,H$146,99)</f>
        <v>99.0</v>
      </c>
      <c r="I158" s="51">
        <f>IF(I155&gt;=0,I$146,99)</f>
        <v>99.0</v>
      </c>
      <c r="J158" s="51">
        <f>IF(J155&gt;=0,J$146,99)</f>
        <v>99.0</v>
      </c>
      <c r="K158" s="51">
        <f>IF(K155&gt;=0,K$146,99)</f>
        <v>99.0</v>
      </c>
      <c r="L158" s="51">
        <f>IF(L155&gt;=0,L$146,99)</f>
        <v>99.0</v>
      </c>
      <c r="M158" s="51">
        <f>IF(M155&gt;=0,M$146,99)</f>
        <v>99.0</v>
      </c>
      <c r="N158" s="51">
        <f>IF(N155&gt;=0,N$146,99)</f>
        <v>99.0</v>
      </c>
      <c r="O158" s="51">
        <f>IF(O155&gt;=0,O$146,99)</f>
        <v>99.0</v>
      </c>
      <c r="P158" s="51">
        <f>IF(P155&gt;=0,P$146,99)</f>
        <v>99.0</v>
      </c>
      <c r="Q158" s="51">
        <f>IF(Q155&gt;=0,Q$146,99)</f>
        <v>99.0</v>
      </c>
      <c r="R158" s="51">
        <f>IF(R155&gt;=0,R$146,99)</f>
        <v>99.0</v>
      </c>
      <c r="S158" s="51">
        <f>IF(S155&gt;=0,S$146,99)</f>
        <v>99.0</v>
      </c>
      <c r="T158" s="51">
        <f>IF(T155&gt;=0,T$146,99)</f>
        <v>99.0</v>
      </c>
      <c r="U158" s="51">
        <f>IF(U155&gt;=0,U$146,99)</f>
        <v>99.0</v>
      </c>
      <c r="V158" s="51">
        <f>IF(V155&gt;=0,V$146,99)</f>
        <v>99.0</v>
      </c>
      <c r="W158" s="51">
        <f>IF(W155&gt;=0,W$146,99)</f>
        <v>99.0</v>
      </c>
      <c r="X158" s="51">
        <f>IF(X155&gt;=0,X$146,99)</f>
        <v>99.0</v>
      </c>
      <c r="Y158" s="51">
        <f>IF(Y155&gt;=0,Y$146,99)</f>
        <v>99.0</v>
      </c>
      <c r="Z158" s="51">
        <f>IF(Z155&gt;=0,Z$146,99)</f>
        <v>99.0</v>
      </c>
    </row>
    <row r="160">
      <c r="A160" s="16" t="inlineStr">
        <is>
          <t>FIRST-ORDER contribution before ads, per customer</t>
        </is>
      </c>
      <c r="B160" s="42">
        <f>$B$130</f>
        <v>4.999196325000007</v>
      </c>
    </row>
    <row r="161">
      <c r="A161" s="16" t="inlineStr">
        <is>
          <t>FIRST-ORDER contribution after CAC, per customer</t>
        </is>
      </c>
      <c r="B161" s="42">
        <f>$B$130-$B$131</f>
        <v>-40.00080367499999</v>
      </c>
    </row>
    <row r="162">
      <c r="A162" s="16" t="inlineStr">
        <is>
          <t>Is the first order profitable after CAC?</t>
        </is>
      </c>
      <c r="B162" s="52" t="str">
        <f>IF(B161&gt;=0,"YES - first order covers CAC","NO - first order loses money after CAC")</f>
        <v>NO - first order loses money after CAC</v>
      </c>
    </row>
    <row r="163">
      <c r="A163" s="3" t="inlineStr">
        <is>
          <t>Payback month (numeric; 99 = none within 24 months)</t>
        </is>
      </c>
      <c r="B163" s="41">
        <f>MIN(C158:Z158)</f>
        <v>99.0</v>
      </c>
    </row>
    <row r="164">
      <c r="A164" s="16" t="inlineStr">
        <is>
          <t>Payback (display)</t>
        </is>
      </c>
      <c r="B164" s="52" t="str">
        <f>IF(B163&gt;24,"No payback within 24 months","Month "&amp;B163)</f>
        <v>No payback within 24 months</v>
      </c>
    </row>
    <row r="165">
      <c r="A165" s="16" t="inlineStr">
        <is>
          <t>12-month contribution LTV per customer (before CAC)</t>
        </is>
      </c>
      <c r="B165" s="42">
        <f>SUM(C152:N152)/$B$124</f>
        <v>3.1692859856986404</v>
      </c>
    </row>
    <row r="166">
      <c r="A166" s="16" t="inlineStr">
        <is>
          <t>24-month contribution LTV per customer (before CAC)</t>
        </is>
      </c>
      <c r="B166" s="42">
        <f>SUM(C152:Z152)/$B$124</f>
        <v>2.149987212021046</v>
      </c>
    </row>
    <row r="167">
      <c r="A167" s="16" t="inlineStr">
        <is>
          <t>12-month contribution LTV net of CAC</t>
        </is>
      </c>
      <c r="B167" s="42">
        <f>B165-$B$131</f>
        <v>-41.83071401430136</v>
      </c>
    </row>
    <row r="168">
      <c r="A168" s="3" t="inlineStr">
        <is>
          <t>24-month contribution LTV net of CAC</t>
        </is>
      </c>
      <c r="B168" s="26">
        <f>B166-$B$131</f>
        <v>-42.850012787978955</v>
      </c>
    </row>
    <row r="169">
      <c r="A169" s="16" t="inlineStr">
        <is>
          <t>12-month LTV:CAC (contribution basis)</t>
        </is>
      </c>
      <c r="B169" s="53">
        <f>IFERROR(B165/$B$131,0)</f>
        <v>0.07042857745996979</v>
      </c>
    </row>
    <row r="170">
      <c r="A170" s="3" t="inlineStr">
        <is>
          <t>24-month LTV:CAC</t>
        </is>
      </c>
      <c r="B170" s="37">
        <f>IFERROR(B166/$B$131,0)</f>
        <v>0.04777749360046769</v>
      </c>
    </row>
    <row r="171">
      <c r="A171" s="3" t="inlineStr">
        <is>
          <t>12-month LTV : blended CAC (info only)</t>
        </is>
      </c>
      <c r="B171" s="37">
        <f>IFERROR(B165/($B$131*Inputs!$E$121),0)</f>
        <v>0.08285714995290563</v>
      </c>
    </row>
    <row r="172">
      <c r="A172" s="3" t="inlineStr">
        <is>
          <t>Cohort contribution from subscription renewals, months 1-24</t>
        </is>
      </c>
      <c r="B172" s="33">
        <f>B147*$B$132</f>
        <v>-216.59741618109615</v>
      </c>
    </row>
    <row r="173">
      <c r="A173" s="3" t="inlineStr">
        <is>
          <t>Renewal contribution per subscriber, 12 months</t>
        </is>
      </c>
      <c r="B173" s="26">
        <f>IFERROR(SUM(C147:N147)*$B$132/$B$127,0)</f>
        <v>-6.340197456506833</v>
      </c>
    </row>
    <row r="174">
      <c r="A174" s="3" t="inlineStr">
        <is>
          <t>Repeat contribution per occasional buyer, 12 months</t>
        </is>
      </c>
      <c r="B174" s="26">
        <f>IFERROR(SUM(C148:N148)*$B$133/$B$128,0)</f>
        <v>-3.5116927999999987</v>
      </c>
    </row>
    <row r="175">
      <c r="A175" s="3" t="inlineStr">
        <is>
          <t>Orders per acquired customer, 12 months</t>
        </is>
      </c>
      <c r="B175" s="11">
        <f>($B$124+SUM(C147:N147)+SUM(C148:N148))/$B$124</f>
        <v>1.6844452995363894</v>
      </c>
    </row>
    <row r="176">
      <c r="A176" s="3" t="inlineStr">
        <is>
          <t>Renewal contribution per subscriber, 24 months</t>
        </is>
      </c>
      <c r="B176" s="26">
        <f>IFERROR(SUM(C147:Z147)*$B$132/$B$127,0)</f>
        <v>-10.829870809054807</v>
      </c>
    </row>
    <row r="177">
      <c r="A177" s="3" t="inlineStr">
        <is>
          <t>Repeat contribution per occasional buyer, 24 months</t>
        </is>
      </c>
      <c r="B177" s="26">
        <f>IFERROR(SUM(C148:Z148)*$B$133/$B$128,0)</f>
        <v>-4.2702184447999985</v>
      </c>
    </row>
    <row r="180">
      <c r="A180" s="43" t="inlineStr">
        <is>
          <t>Engine cohort: OPTIMISTIC (engine)</t>
        </is>
      </c>
      <c r="B180" s="44" t="n"/>
      <c r="C180" s="44" t="n"/>
      <c r="D180" s="44" t="n"/>
      <c r="E180" s="44" t="n"/>
      <c r="F180" s="44" t="n"/>
      <c r="G180" s="44" t="n"/>
      <c r="H180" s="44" t="n"/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</row>
    <row r="182">
      <c r="A182" s="3" t="inlineStr">
        <is>
          <t>Customers acquired (N)</t>
        </is>
      </c>
      <c r="B182" s="12">
        <f>Inputs!$F$9</f>
        <v>100.0</v>
      </c>
    </row>
    <row r="183">
      <c r="A183" s="3" t="inlineStr">
        <is>
          <t>Subscription attach (after any shock)</t>
        </is>
      </c>
      <c r="B183" s="34">
        <f>MIN(1,Inputs!$F$133*Cat_UnitEcon!$T$10)</f>
        <v>0.3</v>
      </c>
    </row>
    <row r="184">
      <c r="A184" s="3" t="inlineStr">
        <is>
          <t>Non-subscriber 12-month repeat rate</t>
        </is>
      </c>
      <c r="B184" s="45">
        <f>Inputs!$F$139</f>
        <v>0.28</v>
      </c>
    </row>
    <row r="185">
      <c r="A185" s="3" t="inlineStr">
        <is>
          <t>Segment: subscribers</t>
        </is>
      </c>
      <c r="B185" s="46">
        <f>$B$182*$B$183</f>
        <v>30.0</v>
      </c>
    </row>
    <row r="186">
      <c r="A186" s="3" t="inlineStr">
        <is>
          <t>Segment: occasional repeat buyers</t>
        </is>
      </c>
      <c r="B186" s="46">
        <f>$B$182*(1-$B$183)*$B$184</f>
        <v>19.6</v>
      </c>
    </row>
    <row r="187">
      <c r="A187" s="3" t="inlineStr">
        <is>
          <t>Segment: one-time only</t>
        </is>
      </c>
      <c r="B187" s="46">
        <f>$B$182-$B$185-$B$186</f>
        <v>50.4</v>
      </c>
    </row>
    <row r="188">
      <c r="A188" s="3" t="inlineStr">
        <is>
          <t>First-order contribution before ads, per customer (mix)</t>
        </is>
      </c>
      <c r="B188" s="39">
        <f>Cat_UnitEcon!$T$57</f>
        <v>32.29912199444445</v>
      </c>
    </row>
    <row r="189">
      <c r="A189" s="3" t="inlineStr">
        <is>
          <t>Paid CAC per new customer</t>
        </is>
      </c>
      <c r="B189" s="39">
        <f>Cat_UnitEcon!$T$60</f>
        <v>32.0</v>
      </c>
    </row>
    <row r="190">
      <c r="A190" s="3" t="inlineStr">
        <is>
          <t>Contribution per subscription renewal order</t>
        </is>
      </c>
      <c r="B190" s="39">
        <f>Cat_UnitEcon!$W$50</f>
        <v>1.4220093148148134</v>
      </c>
    </row>
    <row r="191">
      <c r="A191" s="3" t="inlineStr">
        <is>
          <t>Contribution per occasional repeat order</t>
        </is>
      </c>
      <c r="B191" s="39">
        <f>Cat_UnitEcon!$X$50</f>
        <v>6.977224814814811</v>
      </c>
    </row>
    <row r="192">
      <c r="A192" s="3" t="inlineStr">
        <is>
          <t>Churn before first renewal (incl. involuntary)</t>
        </is>
      </c>
      <c r="B192" s="34">
        <f>1-(1-MIN(1,Inputs!$F$135*Cat_UnitEcon!$T$11))*(1-MIN(1,Inputs!$F$137*Cat_UnitEcon!$T$11))^$B$194</f>
        <v>0.1601592544</v>
      </c>
    </row>
    <row r="193">
      <c r="A193" s="3" t="inlineStr">
        <is>
          <t>Churn per later cycle (incl. involuntary)</t>
        </is>
      </c>
      <c r="B193" s="34">
        <f>1-(1-MIN(1,Inputs!$F$136*Cat_UnitEcon!$T$11))*(1-MIN(1,Inputs!$F$137*Cat_UnitEcon!$T$11))^$B$194</f>
        <v>0.10087637823999995</v>
      </c>
    </row>
    <row r="194">
      <c r="A194" s="3" t="inlineStr">
        <is>
          <t>Renewal cadence (months)</t>
        </is>
      </c>
      <c r="B194" s="12">
        <f>Inputs!$F$134</f>
        <v>3.0</v>
      </c>
    </row>
    <row r="195">
      <c r="A195" s="3" t="inlineStr">
        <is>
          <t>Occasional: month of first repeat</t>
        </is>
      </c>
      <c r="B195" s="12">
        <f>Inputs!$F$140</f>
        <v>3.0</v>
      </c>
    </row>
    <row r="196">
      <c r="A196" s="3" t="inlineStr">
        <is>
          <t>Occasional: months between orders</t>
        </is>
      </c>
      <c r="B196" s="12">
        <f>Inputs!$F$141</f>
        <v>3.0</v>
      </c>
    </row>
    <row r="197">
      <c r="A197" s="3" t="inlineStr">
        <is>
          <t>Occasional: probability of each further order</t>
        </is>
      </c>
      <c r="B197" s="45">
        <f>Inputs!$F$142</f>
        <v>0.75</v>
      </c>
    </row>
    <row r="198">
      <c r="A198" s="3" t="inlineStr">
        <is>
          <t>First-order contribution - subscriber</t>
        </is>
      </c>
      <c r="B198" s="39">
        <f>Cat_UnitEcon!$T$63</f>
        <v>32.29912199444445</v>
      </c>
    </row>
    <row r="199">
      <c r="A199" s="3" t="inlineStr">
        <is>
          <t>First-order contribution - non-subscriber</t>
        </is>
      </c>
      <c r="B199" s="39">
        <f>Cat_UnitEcon!$T$64</f>
        <v>32.29912199444445</v>
      </c>
    </row>
    <row r="200">
      <c r="A200" s="3" t="inlineStr">
        <is>
          <t>First-order gross revenue (mix) - reference</t>
        </is>
      </c>
      <c r="B200" s="39">
        <f>Cat_UnitEcon!$T$59</f>
        <v>68.0365</v>
      </c>
    </row>
    <row r="201">
      <c r="A201" s="3" t="inlineStr">
        <is>
          <t>Renewal order gross revenue - reference</t>
        </is>
      </c>
      <c r="B201" s="39">
        <f>Cat_UnitEcon!$W$35</f>
        <v>15.741</v>
      </c>
    </row>
    <row r="202">
      <c r="A202" s="3" t="inlineStr">
        <is>
          <t>Occasional order gross revenue - reference</t>
        </is>
      </c>
      <c r="B202" s="39">
        <f>Cat_UnitEcon!$X$35</f>
        <v>21.479999999999997</v>
      </c>
    </row>
    <row r="204">
      <c r="A204" s="4" t="inlineStr">
        <is>
          <t>Month</t>
        </is>
      </c>
      <c r="B204" s="4" t="inlineStr">
        <is>
          <t>Total 1-24</t>
        </is>
      </c>
      <c r="C204" s="47" t="n">
        <v>1</v>
      </c>
      <c r="D204" s="47" t="n">
        <v>2</v>
      </c>
      <c r="E204" s="47" t="n">
        <v>3</v>
      </c>
      <c r="F204" s="47" t="n">
        <v>4</v>
      </c>
      <c r="G204" s="47" t="n">
        <v>5</v>
      </c>
      <c r="H204" s="47" t="n">
        <v>6</v>
      </c>
      <c r="I204" s="47" t="n">
        <v>7</v>
      </c>
      <c r="J204" s="47" t="n">
        <v>8</v>
      </c>
      <c r="K204" s="47" t="n">
        <v>9</v>
      </c>
      <c r="L204" s="47" t="n">
        <v>10</v>
      </c>
      <c r="M204" s="47" t="n">
        <v>11</v>
      </c>
      <c r="N204" s="47" t="n">
        <v>12</v>
      </c>
      <c r="O204" s="47" t="n">
        <v>13</v>
      </c>
      <c r="P204" s="47" t="n">
        <v>14</v>
      </c>
      <c r="Q204" s="47" t="n">
        <v>15</v>
      </c>
      <c r="R204" s="47" t="n">
        <v>16</v>
      </c>
      <c r="S204" s="47" t="n">
        <v>17</v>
      </c>
      <c r="T204" s="47" t="n">
        <v>18</v>
      </c>
      <c r="U204" s="47" t="n">
        <v>19</v>
      </c>
      <c r="V204" s="47" t="n">
        <v>20</v>
      </c>
      <c r="W204" s="47" t="n">
        <v>21</v>
      </c>
      <c r="X204" s="47" t="n">
        <v>22</v>
      </c>
      <c r="Y204" s="47" t="n">
        <v>23</v>
      </c>
      <c r="Z204" s="47" t="n">
        <v>24</v>
      </c>
    </row>
    <row r="205">
      <c r="A205" s="3" t="inlineStr">
        <is>
          <t>Subscription renewal orders (paying subscribers)</t>
        </is>
      </c>
      <c r="B205" s="48">
        <f>SUM(C205:Z205)</f>
        <v>131.11421944916742</v>
      </c>
      <c r="C205" s="46">
        <f>IF(AND(C$204&gt;1,MOD(C$204-1,$B$194)=0),$B$185*(1-$B$192)*(1-$B$193)^((C$204-1)/$B$194-1),0)</f>
        <v>0.0</v>
      </c>
      <c r="D205" s="46">
        <f>IF(AND(D$204&gt;1,MOD(D$204-1,$B$194)=0),$B$185*(1-$B$192)*(1-$B$193)^((D$204-1)/$B$194-1),0)</f>
        <v>0.0</v>
      </c>
      <c r="E205" s="46">
        <f>IF(AND(E$204&gt;1,MOD(E$204-1,$B$194)=0),$B$185*(1-$B$192)*(1-$B$193)^((E$204-1)/$B$194-1),0)</f>
        <v>0.0</v>
      </c>
      <c r="F205" s="46">
        <f>IF(AND(F$204&gt;1,MOD(F$204-1,$B$194)=0),$B$185*(1-$B$192)*(1-$B$193)^((F$204-1)/$B$194-1),0)</f>
        <v>25.195222368</v>
      </c>
      <c r="G205" s="46">
        <f>IF(AND(G$204&gt;1,MOD(G$204-1,$B$194)=0),$B$185*(1-$B$192)*(1-$B$193)^((G$204-1)/$B$194-1),0)</f>
        <v>0.0</v>
      </c>
      <c r="H205" s="46">
        <f>IF(AND(H$204&gt;1,MOD(H$204-1,$B$194)=0),$B$185*(1-$B$192)*(1-$B$193)^((H$204-1)/$B$194-1),0)</f>
        <v>0.0</v>
      </c>
      <c r="I205" s="46">
        <f>IF(AND(I$204&gt;1,MOD(I$204-1,$B$194)=0),$B$185*(1-$B$192)*(1-$B$193)^((I$204-1)/$B$194-1),0)</f>
        <v>22.653619586564723</v>
      </c>
      <c r="J205" s="46">
        <f>IF(AND(J$204&gt;1,MOD(J$204-1,$B$194)=0),$B$185*(1-$B$192)*(1-$B$193)^((J$204-1)/$B$194-1),0)</f>
        <v>0.0</v>
      </c>
      <c r="K205" s="46">
        <f>IF(AND(K$204&gt;1,MOD(K$204-1,$B$194)=0),$B$185*(1-$B$192)*(1-$B$193)^((K$204-1)/$B$194-1),0)</f>
        <v>0.0</v>
      </c>
      <c r="L205" s="46">
        <f>IF(AND(L$204&gt;1,MOD(L$204-1,$B$194)=0),$B$185*(1-$B$192)*(1-$B$193)^((L$204-1)/$B$194-1),0)</f>
        <v>20.36840448864535</v>
      </c>
      <c r="M205" s="46">
        <f>IF(AND(M$204&gt;1,MOD(M$204-1,$B$194)=0),$B$185*(1-$B$192)*(1-$B$193)^((M$204-1)/$B$194-1),0)</f>
        <v>0.0</v>
      </c>
      <c r="N205" s="46">
        <f>IF(AND(N$204&gt;1,MOD(N$204-1,$B$194)=0),$B$185*(1-$B$192)*(1-$B$193)^((N$204-1)/$B$194-1),0)</f>
        <v>0.0</v>
      </c>
      <c r="O205" s="46">
        <f>IF(AND(O$204&gt;1,MOD(O$204-1,$B$194)=0),$B$185*(1-$B$192)*(1-$B$193)^((O$204-1)/$B$194-1),0)</f>
        <v>18.31371361330345</v>
      </c>
      <c r="P205" s="46">
        <f>IF(AND(P$204&gt;1,MOD(P$204-1,$B$194)=0),$B$185*(1-$B$192)*(1-$B$193)^((P$204-1)/$B$194-1),0)</f>
        <v>0.0</v>
      </c>
      <c r="Q205" s="46">
        <f>IF(AND(Q$204&gt;1,MOD(Q$204-1,$B$194)=0),$B$185*(1-$B$192)*(1-$B$193)^((Q$204-1)/$B$194-1),0)</f>
        <v>0.0</v>
      </c>
      <c r="R205" s="46">
        <f>IF(AND(R$204&gt;1,MOD(R$204-1,$B$194)=0),$B$185*(1-$B$192)*(1-$B$193)^((R$204-1)/$B$194-1),0)</f>
        <v>16.466292511868815</v>
      </c>
      <c r="S205" s="46">
        <f>IF(AND(S$204&gt;1,MOD(S$204-1,$B$194)=0),$B$185*(1-$B$192)*(1-$B$193)^((S$204-1)/$B$194-1),0)</f>
        <v>0.0</v>
      </c>
      <c r="T205" s="46">
        <f>IF(AND(T$204&gt;1,MOD(T$204-1,$B$194)=0),$B$185*(1-$B$192)*(1-$B$193)^((T$204-1)/$B$194-1),0)</f>
        <v>0.0</v>
      </c>
      <c r="U205" s="46">
        <f>IF(AND(U$204&gt;1,MOD(U$204-1,$B$194)=0),$B$185*(1-$B$192)*(1-$B$193)^((U$204-1)/$B$194-1),0)</f>
        <v>14.805232560231058</v>
      </c>
      <c r="V205" s="46">
        <f>IF(AND(V$204&gt;1,MOD(V$204-1,$B$194)=0),$B$185*(1-$B$192)*(1-$B$193)^((V$204-1)/$B$194-1),0)</f>
        <v>0.0</v>
      </c>
      <c r="W205" s="46">
        <f>IF(AND(W$204&gt;1,MOD(W$204-1,$B$194)=0),$B$185*(1-$B$192)*(1-$B$193)^((W$204-1)/$B$194-1),0)</f>
        <v>0.0</v>
      </c>
      <c r="X205" s="46">
        <f>IF(AND(X$204&gt;1,MOD(X$204-1,$B$194)=0),$B$185*(1-$B$192)*(1-$B$193)^((X$204-1)/$B$194-1),0)</f>
        <v>13.311734320554026</v>
      </c>
      <c r="Y205" s="46">
        <f>IF(AND(Y$204&gt;1,MOD(Y$204-1,$B$194)=0),$B$185*(1-$B$192)*(1-$B$193)^((Y$204-1)/$B$194-1),0)</f>
        <v>0.0</v>
      </c>
      <c r="Z205" s="46">
        <f>IF(AND(Z$204&gt;1,MOD(Z$204-1,$B$194)=0),$B$185*(1-$B$192)*(1-$B$193)^((Z$204-1)/$B$194-1),0)</f>
        <v>0.0</v>
      </c>
    </row>
    <row r="206">
      <c r="A206" s="3" t="inlineStr">
        <is>
          <t>Occasional repeat orders</t>
        </is>
      </c>
      <c r="B206" s="48">
        <f>SUM(C206:Z206)</f>
        <v>70.5511474609375</v>
      </c>
      <c r="C206" s="46">
        <f>IF(AND(C$204&gt;=$B$195,MOD(C$204-$B$195,$B$196)=0),$B$186*$B$197^((C$204-$B$195)/$B$196),0)</f>
        <v>0.0</v>
      </c>
      <c r="D206" s="46">
        <f>IF(AND(D$204&gt;=$B$195,MOD(D$204-$B$195,$B$196)=0),$B$186*$B$197^((D$204-$B$195)/$B$196),0)</f>
        <v>0.0</v>
      </c>
      <c r="E206" s="46">
        <f>IF(AND(E$204&gt;=$B$195,MOD(E$204-$B$195,$B$196)=0),$B$186*$B$197^((E$204-$B$195)/$B$196),0)</f>
        <v>19.6</v>
      </c>
      <c r="F206" s="46">
        <f>IF(AND(F$204&gt;=$B$195,MOD(F$204-$B$195,$B$196)=0),$B$186*$B$197^((F$204-$B$195)/$B$196),0)</f>
        <v>0.0</v>
      </c>
      <c r="G206" s="46">
        <f>IF(AND(G$204&gt;=$B$195,MOD(G$204-$B$195,$B$196)=0),$B$186*$B$197^((G$204-$B$195)/$B$196),0)</f>
        <v>0.0</v>
      </c>
      <c r="H206" s="46">
        <f>IF(AND(H$204&gt;=$B$195,MOD(H$204-$B$195,$B$196)=0),$B$186*$B$197^((H$204-$B$195)/$B$196),0)</f>
        <v>14.700000000000001</v>
      </c>
      <c r="I206" s="46">
        <f>IF(AND(I$204&gt;=$B$195,MOD(I$204-$B$195,$B$196)=0),$B$186*$B$197^((I$204-$B$195)/$B$196),0)</f>
        <v>0.0</v>
      </c>
      <c r="J206" s="46">
        <f>IF(AND(J$204&gt;=$B$195,MOD(J$204-$B$195,$B$196)=0),$B$186*$B$197^((J$204-$B$195)/$B$196),0)</f>
        <v>0.0</v>
      </c>
      <c r="K206" s="46">
        <f>IF(AND(K$204&gt;=$B$195,MOD(K$204-$B$195,$B$196)=0),$B$186*$B$197^((K$204-$B$195)/$B$196),0)</f>
        <v>11.025</v>
      </c>
      <c r="L206" s="46">
        <f>IF(AND(L$204&gt;=$B$195,MOD(L$204-$B$195,$B$196)=0),$B$186*$B$197^((L$204-$B$195)/$B$196),0)</f>
        <v>0.0</v>
      </c>
      <c r="M206" s="46">
        <f>IF(AND(M$204&gt;=$B$195,MOD(M$204-$B$195,$B$196)=0),$B$186*$B$197^((M$204-$B$195)/$B$196),0)</f>
        <v>0.0</v>
      </c>
      <c r="N206" s="46">
        <f>IF(AND(N$204&gt;=$B$195,MOD(N$204-$B$195,$B$196)=0),$B$186*$B$197^((N$204-$B$195)/$B$196),0)</f>
        <v>8.26875</v>
      </c>
      <c r="O206" s="46">
        <f>IF(AND(O$204&gt;=$B$195,MOD(O$204-$B$195,$B$196)=0),$B$186*$B$197^((O$204-$B$195)/$B$196),0)</f>
        <v>0.0</v>
      </c>
      <c r="P206" s="46">
        <f>IF(AND(P$204&gt;=$B$195,MOD(P$204-$B$195,$B$196)=0),$B$186*$B$197^((P$204-$B$195)/$B$196),0)</f>
        <v>0.0</v>
      </c>
      <c r="Q206" s="46">
        <f>IF(AND(Q$204&gt;=$B$195,MOD(Q$204-$B$195,$B$196)=0),$B$186*$B$197^((Q$204-$B$195)/$B$196),0)</f>
        <v>6.2015625000000005</v>
      </c>
      <c r="R206" s="46">
        <f>IF(AND(R$204&gt;=$B$195,MOD(R$204-$B$195,$B$196)=0),$B$186*$B$197^((R$204-$B$195)/$B$196),0)</f>
        <v>0.0</v>
      </c>
      <c r="S206" s="46">
        <f>IF(AND(S$204&gt;=$B$195,MOD(S$204-$B$195,$B$196)=0),$B$186*$B$197^((S$204-$B$195)/$B$196),0)</f>
        <v>0.0</v>
      </c>
      <c r="T206" s="46">
        <f>IF(AND(T$204&gt;=$B$195,MOD(T$204-$B$195,$B$196)=0),$B$186*$B$197^((T$204-$B$195)/$B$196),0)</f>
        <v>4.651171875</v>
      </c>
      <c r="U206" s="46">
        <f>IF(AND(U$204&gt;=$B$195,MOD(U$204-$B$195,$B$196)=0),$B$186*$B$197^((U$204-$B$195)/$B$196),0)</f>
        <v>0.0</v>
      </c>
      <c r="V206" s="46">
        <f>IF(AND(V$204&gt;=$B$195,MOD(V$204-$B$195,$B$196)=0),$B$186*$B$197^((V$204-$B$195)/$B$196),0)</f>
        <v>0.0</v>
      </c>
      <c r="W206" s="46">
        <f>IF(AND(W$204&gt;=$B$195,MOD(W$204-$B$195,$B$196)=0),$B$186*$B$197^((W$204-$B$195)/$B$196),0)</f>
        <v>3.4883789062500004</v>
      </c>
      <c r="X206" s="46">
        <f>IF(AND(X$204&gt;=$B$195,MOD(X$204-$B$195,$B$196)=0),$B$186*$B$197^((X$204-$B$195)/$B$196),0)</f>
        <v>0.0</v>
      </c>
      <c r="Y206" s="46">
        <f>IF(AND(Y$204&gt;=$B$195,MOD(Y$204-$B$195,$B$196)=0),$B$186*$B$197^((Y$204-$B$195)/$B$196),0)</f>
        <v>0.0</v>
      </c>
      <c r="Z206" s="46">
        <f>IF(AND(Z$204&gt;=$B$195,MOD(Z$204-$B$195,$B$196)=0),$B$186*$B$197^((Z$204-$B$195)/$B$196),0)</f>
        <v>2.6162841796875003</v>
      </c>
    </row>
    <row r="207">
      <c r="A207" s="3" t="inlineStr">
        <is>
          <t>Contribution - one-time-only segment</t>
        </is>
      </c>
      <c r="B207" s="30">
        <f>SUM(C207:Z207)</f>
        <v>1627.8757485200001</v>
      </c>
      <c r="C207" s="33">
        <f>IF(C$204=1,$B$187*$B$199,0)</f>
        <v>1627.8757485200001</v>
      </c>
      <c r="D207" s="33">
        <f>IF(D$204=1,$B$187*$B$199,0)</f>
        <v>0.0</v>
      </c>
      <c r="E207" s="33">
        <f>IF(E$204=1,$B$187*$B$199,0)</f>
        <v>0.0</v>
      </c>
      <c r="F207" s="33">
        <f>IF(F$204=1,$B$187*$B$199,0)</f>
        <v>0.0</v>
      </c>
      <c r="G207" s="33">
        <f>IF(G$204=1,$B$187*$B$199,0)</f>
        <v>0.0</v>
      </c>
      <c r="H207" s="33">
        <f>IF(H$204=1,$B$187*$B$199,0)</f>
        <v>0.0</v>
      </c>
      <c r="I207" s="33">
        <f>IF(I$204=1,$B$187*$B$199,0)</f>
        <v>0.0</v>
      </c>
      <c r="J207" s="33">
        <f>IF(J$204=1,$B$187*$B$199,0)</f>
        <v>0.0</v>
      </c>
      <c r="K207" s="33">
        <f>IF(K$204=1,$B$187*$B$199,0)</f>
        <v>0.0</v>
      </c>
      <c r="L207" s="33">
        <f>IF(L$204=1,$B$187*$B$199,0)</f>
        <v>0.0</v>
      </c>
      <c r="M207" s="33">
        <f>IF(M$204=1,$B$187*$B$199,0)</f>
        <v>0.0</v>
      </c>
      <c r="N207" s="33">
        <f>IF(N$204=1,$B$187*$B$199,0)</f>
        <v>0.0</v>
      </c>
      <c r="O207" s="33">
        <f>IF(O$204=1,$B$187*$B$199,0)</f>
        <v>0.0</v>
      </c>
      <c r="P207" s="33">
        <f>IF(P$204=1,$B$187*$B$199,0)</f>
        <v>0.0</v>
      </c>
      <c r="Q207" s="33">
        <f>IF(Q$204=1,$B$187*$B$199,0)</f>
        <v>0.0</v>
      </c>
      <c r="R207" s="33">
        <f>IF(R$204=1,$B$187*$B$199,0)</f>
        <v>0.0</v>
      </c>
      <c r="S207" s="33">
        <f>IF(S$204=1,$B$187*$B$199,0)</f>
        <v>0.0</v>
      </c>
      <c r="T207" s="33">
        <f>IF(T$204=1,$B$187*$B$199,0)</f>
        <v>0.0</v>
      </c>
      <c r="U207" s="33">
        <f>IF(U$204=1,$B$187*$B$199,0)</f>
        <v>0.0</v>
      </c>
      <c r="V207" s="33">
        <f>IF(V$204=1,$B$187*$B$199,0)</f>
        <v>0.0</v>
      </c>
      <c r="W207" s="33">
        <f>IF(W$204=1,$B$187*$B$199,0)</f>
        <v>0.0</v>
      </c>
      <c r="X207" s="33">
        <f>IF(X$204=1,$B$187*$B$199,0)</f>
        <v>0.0</v>
      </c>
      <c r="Y207" s="33">
        <f>IF(Y$204=1,$B$187*$B$199,0)</f>
        <v>0.0</v>
      </c>
      <c r="Z207" s="33">
        <f>IF(Z$204=1,$B$187*$B$199,0)</f>
        <v>0.0</v>
      </c>
    </row>
    <row r="208">
      <c r="A208" s="3" t="inlineStr">
        <is>
          <t>Contribution - occasional repeat segment</t>
        </is>
      </c>
      <c r="B208" s="30">
        <f>SUM(C208:Z208)</f>
        <v>1125.3140078692234</v>
      </c>
      <c r="C208" s="33">
        <f>IF(C$204=1,$B$186*$B$199,0)+C206*$B$191</f>
        <v>633.0627910911112</v>
      </c>
      <c r="D208" s="33">
        <f>IF(D$204=1,$B$186*$B$199,0)+D206*$B$191</f>
        <v>0.0</v>
      </c>
      <c r="E208" s="33">
        <f>IF(E$204=1,$B$186*$B$199,0)+E206*$B$191</f>
        <v>136.7536063703703</v>
      </c>
      <c r="F208" s="33">
        <f>IF(F$204=1,$B$186*$B$199,0)+F206*$B$191</f>
        <v>0.0</v>
      </c>
      <c r="G208" s="33">
        <f>IF(G$204=1,$B$186*$B$199,0)+G206*$B$191</f>
        <v>0.0</v>
      </c>
      <c r="H208" s="33">
        <f>IF(H$204=1,$B$186*$B$199,0)+H206*$B$191</f>
        <v>102.56520477777772</v>
      </c>
      <c r="I208" s="33">
        <f>IF(I$204=1,$B$186*$B$199,0)+I206*$B$191</f>
        <v>0.0</v>
      </c>
      <c r="J208" s="33">
        <f>IF(J$204=1,$B$186*$B$199,0)+J206*$B$191</f>
        <v>0.0</v>
      </c>
      <c r="K208" s="33">
        <f>IF(K$204=1,$B$186*$B$199,0)+K206*$B$191</f>
        <v>76.92390358333328</v>
      </c>
      <c r="L208" s="33">
        <f>IF(L$204=1,$B$186*$B$199,0)+L206*$B$191</f>
        <v>0.0</v>
      </c>
      <c r="M208" s="33">
        <f>IF(M$204=1,$B$186*$B$199,0)+M206*$B$191</f>
        <v>0.0</v>
      </c>
      <c r="N208" s="33">
        <f>IF(N$204=1,$B$186*$B$199,0)+N206*$B$191</f>
        <v>57.692927687499974</v>
      </c>
      <c r="O208" s="33">
        <f>IF(O$204=1,$B$186*$B$199,0)+O206*$B$191</f>
        <v>0.0</v>
      </c>
      <c r="P208" s="33">
        <f>IF(P$204=1,$B$186*$B$199,0)+P206*$B$191</f>
        <v>0.0</v>
      </c>
      <c r="Q208" s="33">
        <f>IF(Q$204=1,$B$186*$B$199,0)+Q206*$B$191</f>
        <v>43.26969576562498</v>
      </c>
      <c r="R208" s="33">
        <f>IF(R$204=1,$B$186*$B$199,0)+R206*$B$191</f>
        <v>0.0</v>
      </c>
      <c r="S208" s="33">
        <f>IF(S$204=1,$B$186*$B$199,0)+S206*$B$191</f>
        <v>0.0</v>
      </c>
      <c r="T208" s="33">
        <f>IF(T$204=1,$B$186*$B$199,0)+T206*$B$191</f>
        <v>32.452271824218734</v>
      </c>
      <c r="U208" s="33">
        <f>IF(U$204=1,$B$186*$B$199,0)+U206*$B$191</f>
        <v>0.0</v>
      </c>
      <c r="V208" s="33">
        <f>IF(V$204=1,$B$186*$B$199,0)+V206*$B$191</f>
        <v>0.0</v>
      </c>
      <c r="W208" s="33">
        <f>IF(W$204=1,$B$186*$B$199,0)+W206*$B$191</f>
        <v>24.339203868164052</v>
      </c>
      <c r="X208" s="33">
        <f>IF(X$204=1,$B$186*$B$199,0)+X206*$B$191</f>
        <v>0.0</v>
      </c>
      <c r="Y208" s="33">
        <f>IF(Y$204=1,$B$186*$B$199,0)+Y206*$B$191</f>
        <v>0.0</v>
      </c>
      <c r="Z208" s="33">
        <f>IF(Z$204=1,$B$186*$B$199,0)+Z206*$B$191</f>
        <v>18.25440290112304</v>
      </c>
    </row>
    <row r="209">
      <c r="A209" s="3" t="inlineStr">
        <is>
          <t>Contribution - subscriber segment</t>
        </is>
      </c>
      <c r="B209" s="30">
        <f>SUM(C209:Z209)</f>
        <v>1155.419301194723</v>
      </c>
      <c r="C209" s="33">
        <f>IF(C$204=1,$B$185*$B$198,0)+C205*$B$190</f>
        <v>968.9736598333334</v>
      </c>
      <c r="D209" s="33">
        <f>IF(D$204=1,$B$185*$B$198,0)+D205*$B$190</f>
        <v>0.0</v>
      </c>
      <c r="E209" s="33">
        <f>IF(E$204=1,$B$185*$B$198,0)+E205*$B$190</f>
        <v>0.0</v>
      </c>
      <c r="F209" s="33">
        <f>IF(F$204=1,$B$185*$B$198,0)+F205*$B$190</f>
        <v>35.82784089612654</v>
      </c>
      <c r="G209" s="33">
        <f>IF(G$204=1,$B$185*$B$198,0)+G205*$B$190</f>
        <v>0.0</v>
      </c>
      <c r="H209" s="33">
        <f>IF(H$204=1,$B$185*$B$198,0)+H205*$B$190</f>
        <v>0.0</v>
      </c>
      <c r="I209" s="33">
        <f>IF(I$204=1,$B$185*$B$198,0)+I205*$B$190</f>
        <v>32.213658066366335</v>
      </c>
      <c r="J209" s="33">
        <f>IF(J$204=1,$B$185*$B$198,0)+J205*$B$190</f>
        <v>0.0</v>
      </c>
      <c r="K209" s="33">
        <f>IF(K$204=1,$B$185*$B$198,0)+K205*$B$190</f>
        <v>0.0</v>
      </c>
      <c r="L209" s="33">
        <f>IF(L$204=1,$B$185*$B$198,0)+L205*$B$190</f>
        <v>28.964060910769543</v>
      </c>
      <c r="M209" s="33">
        <f>IF(M$204=1,$B$185*$B$198,0)+M205*$B$190</f>
        <v>0.0</v>
      </c>
      <c r="N209" s="33">
        <f>IF(N$204=1,$B$185*$B$198,0)+N205*$B$190</f>
        <v>0.0</v>
      </c>
      <c r="O209" s="33">
        <f>IF(O$204=1,$B$185*$B$198,0)+O205*$B$190</f>
        <v>26.04227134696836</v>
      </c>
      <c r="P209" s="33">
        <f>IF(P$204=1,$B$185*$B$198,0)+P205*$B$190</f>
        <v>0.0</v>
      </c>
      <c r="Q209" s="33">
        <f>IF(Q$204=1,$B$185*$B$198,0)+Q205*$B$190</f>
        <v>0.0</v>
      </c>
      <c r="R209" s="33">
        <f>IF(R$204=1,$B$185*$B$198,0)+R205*$B$190</f>
        <v>23.415221332342867</v>
      </c>
      <c r="S209" s="33">
        <f>IF(S$204=1,$B$185*$B$198,0)+S205*$B$190</f>
        <v>0.0</v>
      </c>
      <c r="T209" s="33">
        <f>IF(T$204=1,$B$185*$B$198,0)+T205*$B$190</f>
        <v>0.0</v>
      </c>
      <c r="U209" s="33">
        <f>IF(U$204=1,$B$185*$B$198,0)+U205*$B$190</f>
        <v>21.053178608648132</v>
      </c>
      <c r="V209" s="33">
        <f>IF(V$204=1,$B$185*$B$198,0)+V205*$B$190</f>
        <v>0.0</v>
      </c>
      <c r="W209" s="33">
        <f>IF(W$204=1,$B$185*$B$198,0)+W205*$B$190</f>
        <v>0.0</v>
      </c>
      <c r="X209" s="33">
        <f>IF(X$204=1,$B$185*$B$198,0)+X205*$B$190</f>
        <v>18.929410200167865</v>
      </c>
      <c r="Y209" s="33">
        <f>IF(Y$204=1,$B$185*$B$198,0)+Y205*$B$190</f>
        <v>0.0</v>
      </c>
      <c r="Z209" s="33">
        <f>IF(Z$204=1,$B$185*$B$198,0)+Z205*$B$190</f>
        <v>0.0</v>
      </c>
    </row>
    <row r="210">
      <c r="A210" s="16" t="inlineStr">
        <is>
          <t>Total contribution before CAC</t>
        </is>
      </c>
      <c r="B210" s="30">
        <f>SUM(C210:Z210)</f>
        <v>3908.6090575839467</v>
      </c>
      <c r="C210" s="30">
        <f>SUM(C207:C209)</f>
        <v>3229.912199444445</v>
      </c>
      <c r="D210" s="30">
        <f>SUM(D207:D209)</f>
        <v>0.0</v>
      </c>
      <c r="E210" s="30">
        <f>SUM(E207:E209)</f>
        <v>136.7536063703703</v>
      </c>
      <c r="F210" s="30">
        <f>SUM(F207:F209)</f>
        <v>35.82784089612654</v>
      </c>
      <c r="G210" s="30">
        <f>SUM(G207:G209)</f>
        <v>0.0</v>
      </c>
      <c r="H210" s="30">
        <f>SUM(H207:H209)</f>
        <v>102.56520477777772</v>
      </c>
      <c r="I210" s="30">
        <f>SUM(I207:I209)</f>
        <v>32.213658066366335</v>
      </c>
      <c r="J210" s="30">
        <f>SUM(J207:J209)</f>
        <v>0.0</v>
      </c>
      <c r="K210" s="30">
        <f>SUM(K207:K209)</f>
        <v>76.92390358333328</v>
      </c>
      <c r="L210" s="30">
        <f>SUM(L207:L209)</f>
        <v>28.964060910769543</v>
      </c>
      <c r="M210" s="30">
        <f>SUM(M207:M209)</f>
        <v>0.0</v>
      </c>
      <c r="N210" s="30">
        <f>SUM(N207:N209)</f>
        <v>57.692927687499974</v>
      </c>
      <c r="O210" s="30">
        <f>SUM(O207:O209)</f>
        <v>26.04227134696836</v>
      </c>
      <c r="P210" s="30">
        <f>SUM(P207:P209)</f>
        <v>0.0</v>
      </c>
      <c r="Q210" s="30">
        <f>SUM(Q207:Q209)</f>
        <v>43.26969576562498</v>
      </c>
      <c r="R210" s="30">
        <f>SUM(R207:R209)</f>
        <v>23.415221332342867</v>
      </c>
      <c r="S210" s="30">
        <f>SUM(S207:S209)</f>
        <v>0.0</v>
      </c>
      <c r="T210" s="30">
        <f>SUM(T207:T209)</f>
        <v>32.452271824218734</v>
      </c>
      <c r="U210" s="30">
        <f>SUM(U207:U209)</f>
        <v>21.053178608648132</v>
      </c>
      <c r="V210" s="30">
        <f>SUM(V207:V209)</f>
        <v>0.0</v>
      </c>
      <c r="W210" s="30">
        <f>SUM(W207:W209)</f>
        <v>24.339203868164052</v>
      </c>
      <c r="X210" s="30">
        <f>SUM(X207:X209)</f>
        <v>18.929410200167865</v>
      </c>
      <c r="Y210" s="30">
        <f>SUM(Y207:Y209)</f>
        <v>0.0</v>
      </c>
      <c r="Z210" s="30">
        <f>SUM(Z207:Z209)</f>
        <v>18.25440290112304</v>
      </c>
    </row>
    <row r="211">
      <c r="A211" s="3" t="inlineStr">
        <is>
          <t>CAC (paid, month 1)</t>
        </is>
      </c>
      <c r="B211" s="30">
        <f>SUM(C211:Z211)</f>
        <v>-3200.0</v>
      </c>
      <c r="C211" s="33">
        <f>IF(C$204=1,-$B$182*$B$189,0)</f>
        <v>-3200.0</v>
      </c>
      <c r="D211" s="33">
        <f>IF(D$204=1,-$B$182*$B$189,0)</f>
        <v>0.0</v>
      </c>
      <c r="E211" s="33">
        <f>IF(E$204=1,-$B$182*$B$189,0)</f>
        <v>0.0</v>
      </c>
      <c r="F211" s="33">
        <f>IF(F$204=1,-$B$182*$B$189,0)</f>
        <v>0.0</v>
      </c>
      <c r="G211" s="33">
        <f>IF(G$204=1,-$B$182*$B$189,0)</f>
        <v>0.0</v>
      </c>
      <c r="H211" s="33">
        <f>IF(H$204=1,-$B$182*$B$189,0)</f>
        <v>0.0</v>
      </c>
      <c r="I211" s="33">
        <f>IF(I$204=1,-$B$182*$B$189,0)</f>
        <v>0.0</v>
      </c>
      <c r="J211" s="33">
        <f>IF(J$204=1,-$B$182*$B$189,0)</f>
        <v>0.0</v>
      </c>
      <c r="K211" s="33">
        <f>IF(K$204=1,-$B$182*$B$189,0)</f>
        <v>0.0</v>
      </c>
      <c r="L211" s="33">
        <f>IF(L$204=1,-$B$182*$B$189,0)</f>
        <v>0.0</v>
      </c>
      <c r="M211" s="33">
        <f>IF(M$204=1,-$B$182*$B$189,0)</f>
        <v>0.0</v>
      </c>
      <c r="N211" s="33">
        <f>IF(N$204=1,-$B$182*$B$189,0)</f>
        <v>0.0</v>
      </c>
      <c r="O211" s="33">
        <f>IF(O$204=1,-$B$182*$B$189,0)</f>
        <v>0.0</v>
      </c>
      <c r="P211" s="33">
        <f>IF(P$204=1,-$B$182*$B$189,0)</f>
        <v>0.0</v>
      </c>
      <c r="Q211" s="33">
        <f>IF(Q$204=1,-$B$182*$B$189,0)</f>
        <v>0.0</v>
      </c>
      <c r="R211" s="33">
        <f>IF(R$204=1,-$B$182*$B$189,0)</f>
        <v>0.0</v>
      </c>
      <c r="S211" s="33">
        <f>IF(S$204=1,-$B$182*$B$189,0)</f>
        <v>0.0</v>
      </c>
      <c r="T211" s="33">
        <f>IF(T$204=1,-$B$182*$B$189,0)</f>
        <v>0.0</v>
      </c>
      <c r="U211" s="33">
        <f>IF(U$204=1,-$B$182*$B$189,0)</f>
        <v>0.0</v>
      </c>
      <c r="V211" s="33">
        <f>IF(V$204=1,-$B$182*$B$189,0)</f>
        <v>0.0</v>
      </c>
      <c r="W211" s="33">
        <f>IF(W$204=1,-$B$182*$B$189,0)</f>
        <v>0.0</v>
      </c>
      <c r="X211" s="33">
        <f>IF(X$204=1,-$B$182*$B$189,0)</f>
        <v>0.0</v>
      </c>
      <c r="Y211" s="33">
        <f>IF(Y$204=1,-$B$182*$B$189,0)</f>
        <v>0.0</v>
      </c>
      <c r="Z211" s="33">
        <f>IF(Z$204=1,-$B$182*$B$189,0)</f>
        <v>0.0</v>
      </c>
    </row>
    <row r="212">
      <c r="A212" s="3" t="inlineStr">
        <is>
          <t>Net contribution after CAC</t>
        </is>
      </c>
      <c r="B212" s="30">
        <f>SUM(C212:Z212)</f>
        <v>708.6090575839467</v>
      </c>
      <c r="C212" s="33">
        <f>C210+C211</f>
        <v>29.912199444444923</v>
      </c>
      <c r="D212" s="33">
        <f>D210+D211</f>
        <v>0.0</v>
      </c>
      <c r="E212" s="33">
        <f>E210+E211</f>
        <v>136.7536063703703</v>
      </c>
      <c r="F212" s="33">
        <f>F210+F211</f>
        <v>35.82784089612654</v>
      </c>
      <c r="G212" s="33">
        <f>G210+G211</f>
        <v>0.0</v>
      </c>
      <c r="H212" s="33">
        <f>H210+H211</f>
        <v>102.56520477777772</v>
      </c>
      <c r="I212" s="33">
        <f>I210+I211</f>
        <v>32.213658066366335</v>
      </c>
      <c r="J212" s="33">
        <f>J210+J211</f>
        <v>0.0</v>
      </c>
      <c r="K212" s="33">
        <f>K210+K211</f>
        <v>76.92390358333328</v>
      </c>
      <c r="L212" s="33">
        <f>L210+L211</f>
        <v>28.964060910769543</v>
      </c>
      <c r="M212" s="33">
        <f>M210+M211</f>
        <v>0.0</v>
      </c>
      <c r="N212" s="33">
        <f>N210+N211</f>
        <v>57.692927687499974</v>
      </c>
      <c r="O212" s="33">
        <f>O210+O211</f>
        <v>26.04227134696836</v>
      </c>
      <c r="P212" s="33">
        <f>P210+P211</f>
        <v>0.0</v>
      </c>
      <c r="Q212" s="33">
        <f>Q210+Q211</f>
        <v>43.26969576562498</v>
      </c>
      <c r="R212" s="33">
        <f>R210+R211</f>
        <v>23.415221332342867</v>
      </c>
      <c r="S212" s="33">
        <f>S210+S211</f>
        <v>0.0</v>
      </c>
      <c r="T212" s="33">
        <f>T210+T211</f>
        <v>32.452271824218734</v>
      </c>
      <c r="U212" s="33">
        <f>U210+U211</f>
        <v>21.053178608648132</v>
      </c>
      <c r="V212" s="33">
        <f>V210+V211</f>
        <v>0.0</v>
      </c>
      <c r="W212" s="33">
        <f>W210+W211</f>
        <v>24.339203868164052</v>
      </c>
      <c r="X212" s="33">
        <f>X210+X211</f>
        <v>18.929410200167865</v>
      </c>
      <c r="Y212" s="33">
        <f>Y210+Y211</f>
        <v>0.0</v>
      </c>
      <c r="Z212" s="33">
        <f>Z210+Z211</f>
        <v>18.25440290112304</v>
      </c>
    </row>
    <row r="213">
      <c r="A213" s="16" t="inlineStr">
        <is>
          <t>CUMULATIVE contribution after CAC</t>
        </is>
      </c>
      <c r="C213" s="49">
        <f>C212</f>
        <v>29.912199444444923</v>
      </c>
      <c r="D213" s="49">
        <f>C213+D212</f>
        <v>29.912199444444923</v>
      </c>
      <c r="E213" s="49">
        <f>D213+E212</f>
        <v>166.66580581481523</v>
      </c>
      <c r="F213" s="49">
        <f>E213+F212</f>
        <v>202.49364671094176</v>
      </c>
      <c r="G213" s="49">
        <f>F213+G212</f>
        <v>202.49364671094176</v>
      </c>
      <c r="H213" s="49">
        <f>G213+H212</f>
        <v>305.0588514887195</v>
      </c>
      <c r="I213" s="49">
        <f>H213+I212</f>
        <v>337.27250955508583</v>
      </c>
      <c r="J213" s="49">
        <f>I213+J212</f>
        <v>337.27250955508583</v>
      </c>
      <c r="K213" s="49">
        <f>J213+K212</f>
        <v>414.19641313841913</v>
      </c>
      <c r="L213" s="49">
        <f>K213+L212</f>
        <v>443.1604740491887</v>
      </c>
      <c r="M213" s="49">
        <f>L213+M212</f>
        <v>443.1604740491887</v>
      </c>
      <c r="N213" s="49">
        <f>M213+N212</f>
        <v>500.8534017366886</v>
      </c>
      <c r="O213" s="49">
        <f>N213+O212</f>
        <v>526.895673083657</v>
      </c>
      <c r="P213" s="49">
        <f>O213+P212</f>
        <v>526.895673083657</v>
      </c>
      <c r="Q213" s="49">
        <f>P213+Q212</f>
        <v>570.165368849282</v>
      </c>
      <c r="R213" s="49">
        <f>Q213+R212</f>
        <v>593.5805901816249</v>
      </c>
      <c r="S213" s="49">
        <f>R213+S212</f>
        <v>593.5805901816249</v>
      </c>
      <c r="T213" s="49">
        <f>S213+T212</f>
        <v>626.0328620058436</v>
      </c>
      <c r="U213" s="49">
        <f>T213+U212</f>
        <v>647.0860406144918</v>
      </c>
      <c r="V213" s="49">
        <f>U213+V212</f>
        <v>647.0860406144918</v>
      </c>
      <c r="W213" s="49">
        <f>V213+W212</f>
        <v>671.4252444826559</v>
      </c>
      <c r="X213" s="49">
        <f>W213+X212</f>
        <v>690.3546546828238</v>
      </c>
      <c r="Y213" s="49">
        <f>X213+Y212</f>
        <v>690.3546546828238</v>
      </c>
      <c r="Z213" s="49">
        <f>Y213+Z212</f>
        <v>708.6090575839469</v>
      </c>
    </row>
    <row r="214">
      <c r="A214" s="3" t="inlineStr">
        <is>
          <t>Cumulative contribution before CAC, per customer</t>
        </is>
      </c>
      <c r="C214" s="26">
        <f>SUM($C210:C210)/$B$182</f>
        <v>32.29912199444445</v>
      </c>
      <c r="D214" s="26">
        <f>SUM($C210:D210)/$B$182</f>
        <v>32.29912199444445</v>
      </c>
      <c r="E214" s="26">
        <f>SUM($C210:E210)/$B$182</f>
        <v>33.66665805814815</v>
      </c>
      <c r="F214" s="26">
        <f>SUM($C210:F210)/$B$182</f>
        <v>34.02493646710942</v>
      </c>
      <c r="G214" s="26">
        <f>SUM($C210:G210)/$B$182</f>
        <v>34.02493646710942</v>
      </c>
      <c r="H214" s="26">
        <f>SUM($C210:H210)/$B$182</f>
        <v>35.050588514887195</v>
      </c>
      <c r="I214" s="26">
        <f>SUM($C210:I210)/$B$182</f>
        <v>35.37272509555086</v>
      </c>
      <c r="J214" s="26">
        <f>SUM($C210:J210)/$B$182</f>
        <v>35.37272509555086</v>
      </c>
      <c r="K214" s="26">
        <f>SUM($C210:K210)/$B$182</f>
        <v>36.14196413138419</v>
      </c>
      <c r="L214" s="26">
        <f>SUM($C210:L210)/$B$182</f>
        <v>36.431604740491885</v>
      </c>
      <c r="M214" s="26">
        <f>SUM($C210:M210)/$B$182</f>
        <v>36.431604740491885</v>
      </c>
      <c r="N214" s="26">
        <f>SUM($C210:N210)/$B$182</f>
        <v>37.008534017366884</v>
      </c>
      <c r="O214" s="26">
        <f>SUM($C210:O210)/$B$182</f>
        <v>37.26895673083657</v>
      </c>
      <c r="P214" s="26">
        <f>SUM($C210:P210)/$B$182</f>
        <v>37.26895673083657</v>
      </c>
      <c r="Q214" s="26">
        <f>SUM($C210:Q210)/$B$182</f>
        <v>37.70165368849282</v>
      </c>
      <c r="R214" s="26">
        <f>SUM($C210:R210)/$B$182</f>
        <v>37.935805901816245</v>
      </c>
      <c r="S214" s="26">
        <f>SUM($C210:S210)/$B$182</f>
        <v>37.935805901816245</v>
      </c>
      <c r="T214" s="26">
        <f>SUM($C210:T210)/$B$182</f>
        <v>38.26032862005844</v>
      </c>
      <c r="U214" s="26">
        <f>SUM($C210:U210)/$B$182</f>
        <v>38.470860406144915</v>
      </c>
      <c r="V214" s="26">
        <f>SUM($C210:V210)/$B$182</f>
        <v>38.470860406144915</v>
      </c>
      <c r="W214" s="26">
        <f>SUM($C210:W210)/$B$182</f>
        <v>38.714252444826556</v>
      </c>
      <c r="X214" s="26">
        <f>SUM($C210:X210)/$B$182</f>
        <v>38.90354654682824</v>
      </c>
      <c r="Y214" s="26">
        <f>SUM($C210:Y210)/$B$182</f>
        <v>38.90354654682824</v>
      </c>
      <c r="Z214" s="26">
        <f>SUM($C210:Z210)/$B$182</f>
        <v>39.086090575839464</v>
      </c>
    </row>
    <row r="215">
      <c r="A215" s="3" t="inlineStr">
        <is>
          <t>Gross revenue (reference only - NOT used for LTV)</t>
        </is>
      </c>
      <c r="B215" s="30">
        <f>SUM(C215:Z215)</f>
        <v>10382.957575810282</v>
      </c>
      <c r="C215" s="50">
        <f>IF(C$204=1,$B$182*$B$200,0)+C205*$B$201+C206*$B$202</f>
        <v>6803.650000000001</v>
      </c>
      <c r="D215" s="50">
        <f>IF(D$204=1,$B$182*$B$200,0)+D205*$B$201+D206*$B$202</f>
        <v>0.0</v>
      </c>
      <c r="E215" s="50">
        <f>IF(E$204=1,$B$182*$B$200,0)+E205*$B$201+E206*$B$202</f>
        <v>421.008</v>
      </c>
      <c r="F215" s="50">
        <f>IF(F$204=1,$B$182*$B$200,0)+F205*$B$201+F206*$B$202</f>
        <v>396.59799529468796</v>
      </c>
      <c r="G215" s="50">
        <f>IF(G$204=1,$B$182*$B$200,0)+G205*$B$201+G206*$B$202</f>
        <v>0.0</v>
      </c>
      <c r="H215" s="50">
        <f>IF(H$204=1,$B$182*$B$200,0)+H205*$B$201+H206*$B$202</f>
        <v>315.756</v>
      </c>
      <c r="I215" s="50">
        <f>IF(I$204=1,$B$182*$B$200,0)+I205*$B$201+I206*$B$202</f>
        <v>356.5906259121153</v>
      </c>
      <c r="J215" s="50">
        <f>IF(J$204=1,$B$182*$B$200,0)+J205*$B$201+J206*$B$202</f>
        <v>0.0</v>
      </c>
      <c r="K215" s="50">
        <f>IF(K$204=1,$B$182*$B$200,0)+K205*$B$201+K206*$B$202</f>
        <v>236.81699999999998</v>
      </c>
      <c r="L215" s="50">
        <f>IF(L$204=1,$B$182*$B$200,0)+L205*$B$201+L206*$B$202</f>
        <v>320.61905505576647</v>
      </c>
      <c r="M215" s="50">
        <f>IF(M$204=1,$B$182*$B$200,0)+M205*$B$201+M206*$B$202</f>
        <v>0.0</v>
      </c>
      <c r="N215" s="50">
        <f>IF(N$204=1,$B$182*$B$200,0)+N205*$B$201+N206*$B$202</f>
        <v>177.61274999999998</v>
      </c>
      <c r="O215" s="50">
        <f>IF(O$204=1,$B$182*$B$200,0)+O205*$B$201+O206*$B$202</f>
        <v>288.27616598700956</v>
      </c>
      <c r="P215" s="50">
        <f>IF(P$204=1,$B$182*$B$200,0)+P205*$B$201+P206*$B$202</f>
        <v>0.0</v>
      </c>
      <c r="Q215" s="50">
        <f>IF(Q$204=1,$B$182*$B$200,0)+Q205*$B$201+Q206*$B$202</f>
        <v>133.2095625</v>
      </c>
      <c r="R215" s="50">
        <f>IF(R$204=1,$B$182*$B$200,0)+R205*$B$201+R206*$B$202</f>
        <v>259.195910429327</v>
      </c>
      <c r="S215" s="50">
        <f>IF(S$204=1,$B$182*$B$200,0)+S205*$B$201+S206*$B$202</f>
        <v>0.0</v>
      </c>
      <c r="T215" s="50">
        <f>IF(T$204=1,$B$182*$B$200,0)+T205*$B$201+T206*$B$202</f>
        <v>99.90717187499999</v>
      </c>
      <c r="U215" s="50">
        <f>IF(U$204=1,$B$182*$B$200,0)+U205*$B$201+U206*$B$202</f>
        <v>233.04916573059708</v>
      </c>
      <c r="V215" s="50">
        <f>IF(V$204=1,$B$182*$B$200,0)+V205*$B$201+V206*$B$202</f>
        <v>0.0</v>
      </c>
      <c r="W215" s="50">
        <f>IF(W$204=1,$B$182*$B$200,0)+W205*$B$201+W206*$B$202</f>
        <v>74.93037890625</v>
      </c>
      <c r="X215" s="50">
        <f>IF(X$204=1,$B$182*$B$200,0)+X205*$B$201+X206*$B$202</f>
        <v>209.5400099398409</v>
      </c>
      <c r="Y215" s="50">
        <f>IF(Y$204=1,$B$182*$B$200,0)+Y205*$B$201+Y206*$B$202</f>
        <v>0.0</v>
      </c>
      <c r="Z215" s="50">
        <f>IF(Z$204=1,$B$182*$B$200,0)+Z205*$B$201+Z206*$B$202</f>
        <v>56.197784179687496</v>
      </c>
    </row>
    <row r="216">
      <c r="A216" s="3" t="inlineStr">
        <is>
          <t>Payback helper (month if cumulative &gt;= 0, else 99)</t>
        </is>
      </c>
      <c r="C216" s="51">
        <f>IF(C213&gt;=0,C$204,99)</f>
        <v>1.0</v>
      </c>
      <c r="D216" s="51">
        <f>IF(D213&gt;=0,D$204,99)</f>
        <v>2.0</v>
      </c>
      <c r="E216" s="51">
        <f>IF(E213&gt;=0,E$204,99)</f>
        <v>3.0</v>
      </c>
      <c r="F216" s="51">
        <f>IF(F213&gt;=0,F$204,99)</f>
        <v>4.0</v>
      </c>
      <c r="G216" s="51">
        <f>IF(G213&gt;=0,G$204,99)</f>
        <v>5.0</v>
      </c>
      <c r="H216" s="51">
        <f>IF(H213&gt;=0,H$204,99)</f>
        <v>6.0</v>
      </c>
      <c r="I216" s="51">
        <f>IF(I213&gt;=0,I$204,99)</f>
        <v>7.0</v>
      </c>
      <c r="J216" s="51">
        <f>IF(J213&gt;=0,J$204,99)</f>
        <v>8.0</v>
      </c>
      <c r="K216" s="51">
        <f>IF(K213&gt;=0,K$204,99)</f>
        <v>9.0</v>
      </c>
      <c r="L216" s="51">
        <f>IF(L213&gt;=0,L$204,99)</f>
        <v>10.0</v>
      </c>
      <c r="M216" s="51">
        <f>IF(M213&gt;=0,M$204,99)</f>
        <v>11.0</v>
      </c>
      <c r="N216" s="51">
        <f>IF(N213&gt;=0,N$204,99)</f>
        <v>12.0</v>
      </c>
      <c r="O216" s="51">
        <f>IF(O213&gt;=0,O$204,99)</f>
        <v>13.0</v>
      </c>
      <c r="P216" s="51">
        <f>IF(P213&gt;=0,P$204,99)</f>
        <v>14.0</v>
      </c>
      <c r="Q216" s="51">
        <f>IF(Q213&gt;=0,Q$204,99)</f>
        <v>15.0</v>
      </c>
      <c r="R216" s="51">
        <f>IF(R213&gt;=0,R$204,99)</f>
        <v>16.0</v>
      </c>
      <c r="S216" s="51">
        <f>IF(S213&gt;=0,S$204,99)</f>
        <v>17.0</v>
      </c>
      <c r="T216" s="51">
        <f>IF(T213&gt;=0,T$204,99)</f>
        <v>18.0</v>
      </c>
      <c r="U216" s="51">
        <f>IF(U213&gt;=0,U$204,99)</f>
        <v>19.0</v>
      </c>
      <c r="V216" s="51">
        <f>IF(V213&gt;=0,V$204,99)</f>
        <v>20.0</v>
      </c>
      <c r="W216" s="51">
        <f>IF(W213&gt;=0,W$204,99)</f>
        <v>21.0</v>
      </c>
      <c r="X216" s="51">
        <f>IF(X213&gt;=0,X$204,99)</f>
        <v>22.0</v>
      </c>
      <c r="Y216" s="51">
        <f>IF(Y213&gt;=0,Y$204,99)</f>
        <v>23.0</v>
      </c>
      <c r="Z216" s="51">
        <f>IF(Z213&gt;=0,Z$204,99)</f>
        <v>24.0</v>
      </c>
    </row>
    <row r="218">
      <c r="A218" s="16" t="inlineStr">
        <is>
          <t>FIRST-ORDER contribution before ads, per customer</t>
        </is>
      </c>
      <c r="B218" s="42">
        <f>$B$188</f>
        <v>32.29912199444445</v>
      </c>
    </row>
    <row r="219">
      <c r="A219" s="16" t="inlineStr">
        <is>
          <t>FIRST-ORDER contribution after CAC, per customer</t>
        </is>
      </c>
      <c r="B219" s="42">
        <f>$B$188-$B$189</f>
        <v>0.2991219944444481</v>
      </c>
    </row>
    <row r="220">
      <c r="A220" s="16" t="inlineStr">
        <is>
          <t>Is the first order profitable after CAC?</t>
        </is>
      </c>
      <c r="B220" s="52" t="str">
        <f>IF(B219&gt;=0,"YES - first order covers CAC","NO - first order loses money after CAC")</f>
        <v>YES - first order covers CAC</v>
      </c>
    </row>
    <row r="221">
      <c r="A221" s="3" t="inlineStr">
        <is>
          <t>Payback month (numeric; 99 = none within 24 months)</t>
        </is>
      </c>
      <c r="B221" s="41">
        <f>MIN(C216:Z216)</f>
        <v>1.0</v>
      </c>
    </row>
    <row r="222">
      <c r="A222" s="16" t="inlineStr">
        <is>
          <t>Payback (display)</t>
        </is>
      </c>
      <c r="B222" s="52" t="str">
        <f>IF(B221&gt;24,"No payback within 24 months","Month "&amp;B221)</f>
        <v>Month 1</v>
      </c>
    </row>
    <row r="223">
      <c r="A223" s="16" t="inlineStr">
        <is>
          <t>12-month contribution LTV per customer (before CAC)</t>
        </is>
      </c>
      <c r="B223" s="42">
        <f>SUM(C210:N210)/$B$182</f>
        <v>37.008534017366884</v>
      </c>
    </row>
    <row r="224">
      <c r="A224" s="16" t="inlineStr">
        <is>
          <t>24-month contribution LTV per customer (before CAC)</t>
        </is>
      </c>
      <c r="B224" s="42">
        <f>SUM(C210:Z210)/$B$182</f>
        <v>39.086090575839464</v>
      </c>
    </row>
    <row r="225">
      <c r="A225" s="16" t="inlineStr">
        <is>
          <t>12-month contribution LTV net of CAC</t>
        </is>
      </c>
      <c r="B225" s="42">
        <f>B223-$B$189</f>
        <v>5.008534017366884</v>
      </c>
    </row>
    <row r="226">
      <c r="A226" s="3" t="inlineStr">
        <is>
          <t>24-month contribution LTV net of CAC</t>
        </is>
      </c>
      <c r="B226" s="26">
        <f>B224-$B$189</f>
        <v>7.086090575839464</v>
      </c>
    </row>
    <row r="227">
      <c r="A227" s="16" t="inlineStr">
        <is>
          <t>12-month LTV:CAC (contribution basis)</t>
        </is>
      </c>
      <c r="B227" s="53">
        <f>IFERROR(B223/$B$189,0)</f>
        <v>1.1565166880427151</v>
      </c>
    </row>
    <row r="228">
      <c r="A228" s="3" t="inlineStr">
        <is>
          <t>24-month LTV:CAC</t>
        </is>
      </c>
      <c r="B228" s="37">
        <f>IFERROR(B224/$B$189,0)</f>
        <v>1.2214403304949832</v>
      </c>
    </row>
    <row r="229">
      <c r="A229" s="3" t="inlineStr">
        <is>
          <t>12-month LTV : blended CAC (info only)</t>
        </is>
      </c>
      <c r="B229" s="37">
        <f>IFERROR(B223/($B$189*Inputs!$F$121),0)</f>
        <v>1.54202225072362</v>
      </c>
    </row>
    <row r="230">
      <c r="A230" s="3" t="inlineStr">
        <is>
          <t>Cohort contribution from subscription renewals, months 1-24</t>
        </is>
      </c>
      <c r="B230" s="33">
        <f>B205*$B$190</f>
        <v>186.44564136138965</v>
      </c>
    </row>
    <row r="231">
      <c r="A231" s="3" t="inlineStr">
        <is>
          <t>Renewal contribution per subscriber, 12 months</t>
        </is>
      </c>
      <c r="B231" s="26">
        <f>IFERROR(SUM(C205:N205)*$B$190/$B$185,0)</f>
        <v>3.233518662442081</v>
      </c>
    </row>
    <row r="232">
      <c r="A232" s="3" t="inlineStr">
        <is>
          <t>Repeat contribution per occasional buyer, 12 months</t>
        </is>
      </c>
      <c r="B232" s="26">
        <f>IFERROR(SUM(C206:N206)*$B$191/$B$186,0)</f>
        <v>19.07834910300925</v>
      </c>
    </row>
    <row r="233">
      <c r="A233" s="3" t="inlineStr">
        <is>
          <t>Orders per acquired customer, 12 months</t>
        </is>
      </c>
      <c r="B233" s="11">
        <f>($B$182+SUM(C205:N205)+SUM(C206:N206))/$B$182</f>
        <v>2.2181099644321005</v>
      </c>
    </row>
    <row r="234">
      <c r="A234" s="3" t="inlineStr">
        <is>
          <t>Renewal contribution per subscriber, 24 months</t>
        </is>
      </c>
      <c r="B234" s="26">
        <f>IFERROR(SUM(C205:Z205)*$B$190/$B$185,0)</f>
        <v>6.214854712046321</v>
      </c>
    </row>
    <row r="235">
      <c r="A235" s="3" t="inlineStr">
        <is>
          <t>Repeat contribution per occasional buyer, 24 months</t>
        </is>
      </c>
      <c r="B235" s="26">
        <f>IFERROR(SUM(C206:Z206)*$B$191/$B$186,0)</f>
        <v>25.114857998883267</v>
      </c>
    </row>
    <row r="238">
      <c r="A238" s="43" t="inlineStr">
        <is>
          <t>Engine cohort: BASE + CPA shock (sensitivity)</t>
        </is>
      </c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</row>
    <row r="240">
      <c r="A240" s="3" t="inlineStr">
        <is>
          <t>Customers acquired (N)</t>
        </is>
      </c>
      <c r="B240" s="12">
        <f>Inputs!$E$9</f>
        <v>100.0</v>
      </c>
    </row>
    <row r="241">
      <c r="A241" s="3" t="inlineStr">
        <is>
          <t>Subscription attach (after any shock)</t>
        </is>
      </c>
      <c r="B241" s="34">
        <f>MIN(1,Inputs!$E$133*Cat_UnitEcon!$Z$10)</f>
        <v>0.2</v>
      </c>
    </row>
    <row r="242">
      <c r="A242" s="3" t="inlineStr">
        <is>
          <t>Non-subscriber 12-month repeat rate</t>
        </is>
      </c>
      <c r="B242" s="45">
        <f>Inputs!$E$139</f>
        <v>0.2</v>
      </c>
    </row>
    <row r="243">
      <c r="A243" s="3" t="inlineStr">
        <is>
          <t>Segment: subscribers</t>
        </is>
      </c>
      <c r="B243" s="46">
        <f>$B$240*$B$241</f>
        <v>20.0</v>
      </c>
    </row>
    <row r="244">
      <c r="A244" s="3" t="inlineStr">
        <is>
          <t>Segment: occasional repeat buyers</t>
        </is>
      </c>
      <c r="B244" s="46">
        <f>$B$240*(1-$B$241)*$B$242</f>
        <v>16.0</v>
      </c>
    </row>
    <row r="245">
      <c r="A245" s="3" t="inlineStr">
        <is>
          <t>Segment: one-time only</t>
        </is>
      </c>
      <c r="B245" s="46">
        <f>$B$240-$B$243-$B$244</f>
        <v>64.0</v>
      </c>
    </row>
    <row r="246">
      <c r="A246" s="3" t="inlineStr">
        <is>
          <t>First-order contribution before ads, per customer (mix)</t>
        </is>
      </c>
      <c r="B246" s="39">
        <f>Cat_UnitEcon!$Z$57</f>
        <v>4.999196325000007</v>
      </c>
    </row>
    <row r="247">
      <c r="A247" s="3" t="inlineStr">
        <is>
          <t>Paid CAC per new customer</t>
        </is>
      </c>
      <c r="B247" s="39">
        <f>Cat_UnitEcon!$Z$60</f>
        <v>58.5</v>
      </c>
    </row>
    <row r="248">
      <c r="A248" s="3" t="inlineStr">
        <is>
          <t>Contribution per subscription renewal order</t>
        </is>
      </c>
      <c r="B248" s="39">
        <f>Cat_UnitEcon!$AC$50</f>
        <v>-3.419322000000001</v>
      </c>
    </row>
    <row r="249">
      <c r="A249" s="3" t="inlineStr">
        <is>
          <t>Contribution per occasional repeat order</t>
        </is>
      </c>
      <c r="B249" s="39">
        <f>Cat_UnitEcon!$AD$50</f>
        <v>-1.7916799999999995</v>
      </c>
    </row>
    <row r="250">
      <c r="A250" s="3" t="inlineStr">
        <is>
          <t>Churn before first renewal (incl. involuntary)</t>
        </is>
      </c>
      <c r="B250" s="34">
        <f>1-(1-MIN(1,Inputs!$E$135*Cat_UnitEcon!$Z$11))*(1-MIN(1,Inputs!$E$137*Cat_UnitEcon!$Z$11))^$B$252</f>
        <v>0.26564000725000003</v>
      </c>
    </row>
    <row r="251">
      <c r="A251" s="3" t="inlineStr">
        <is>
          <t>Churn per later cycle (incl. involuntary)</t>
        </is>
      </c>
      <c r="B251" s="34">
        <f>1-(1-MIN(1,Inputs!$E$136*Cat_UnitEcon!$Z$11))*(1-MIN(1,Inputs!$E$137*Cat_UnitEcon!$Z$11))^$B$252</f>
        <v>0.16772534154999996</v>
      </c>
    </row>
    <row r="252">
      <c r="A252" s="3" t="inlineStr">
        <is>
          <t>Renewal cadence (months)</t>
        </is>
      </c>
      <c r="B252" s="12">
        <f>Inputs!$E$134</f>
        <v>3.0</v>
      </c>
    </row>
    <row r="253">
      <c r="A253" s="3" t="inlineStr">
        <is>
          <t>Occasional: month of first repeat</t>
        </is>
      </c>
      <c r="B253" s="12">
        <f>Inputs!$E$140</f>
        <v>4.0</v>
      </c>
    </row>
    <row r="254">
      <c r="A254" s="3" t="inlineStr">
        <is>
          <t>Occasional: months between orders</t>
        </is>
      </c>
      <c r="B254" s="12">
        <f>Inputs!$E$141</f>
        <v>4.0</v>
      </c>
    </row>
    <row r="255">
      <c r="A255" s="3" t="inlineStr">
        <is>
          <t>Occasional: probability of each further order</t>
        </is>
      </c>
      <c r="B255" s="45">
        <f>Inputs!$E$142</f>
        <v>0.6</v>
      </c>
    </row>
    <row r="256">
      <c r="A256" s="3" t="inlineStr">
        <is>
          <t>First-order contribution - subscriber</t>
        </is>
      </c>
      <c r="B256" s="39">
        <f>Cat_UnitEcon!$Z$63</f>
        <v>4.999196325000007</v>
      </c>
    </row>
    <row r="257">
      <c r="A257" s="3" t="inlineStr">
        <is>
          <t>First-order contribution - non-subscriber</t>
        </is>
      </c>
      <c r="B257" s="39">
        <f>Cat_UnitEcon!$Z$64</f>
        <v>4.999196325000007</v>
      </c>
    </row>
    <row r="258">
      <c r="A258" s="3" t="inlineStr">
        <is>
          <t>First-order gross revenue (mix) - reference</t>
        </is>
      </c>
      <c r="B258" s="39">
        <f>Cat_UnitEcon!$Z$59</f>
        <v>54.9875</v>
      </c>
    </row>
    <row r="259">
      <c r="A259" s="3" t="inlineStr">
        <is>
          <t>Renewal order gross revenue - reference</t>
        </is>
      </c>
      <c r="B259" s="39">
        <f>Cat_UnitEcon!$AC$35</f>
        <v>15.290999999999999</v>
      </c>
    </row>
    <row r="260">
      <c r="A260" s="3" t="inlineStr">
        <is>
          <t>Occasional order gross revenue - reference</t>
        </is>
      </c>
      <c r="B260" s="39">
        <f>Cat_UnitEcon!$AD$35</f>
        <v>16.99</v>
      </c>
    </row>
    <row r="262">
      <c r="A262" s="4" t="inlineStr">
        <is>
          <t>Month</t>
        </is>
      </c>
      <c r="B262" s="4" t="inlineStr">
        <is>
          <t>Total 1-24</t>
        </is>
      </c>
      <c r="C262" s="47" t="n">
        <v>1</v>
      </c>
      <c r="D262" s="47" t="n">
        <v>2</v>
      </c>
      <c r="E262" s="47" t="n">
        <v>3</v>
      </c>
      <c r="F262" s="47" t="n">
        <v>4</v>
      </c>
      <c r="G262" s="47" t="n">
        <v>5</v>
      </c>
      <c r="H262" s="47" t="n">
        <v>6</v>
      </c>
      <c r="I262" s="47" t="n">
        <v>7</v>
      </c>
      <c r="J262" s="47" t="n">
        <v>8</v>
      </c>
      <c r="K262" s="47" t="n">
        <v>9</v>
      </c>
      <c r="L262" s="47" t="n">
        <v>10</v>
      </c>
      <c r="M262" s="47" t="n">
        <v>11</v>
      </c>
      <c r="N262" s="47" t="n">
        <v>12</v>
      </c>
      <c r="O262" s="47" t="n">
        <v>13</v>
      </c>
      <c r="P262" s="47" t="n">
        <v>14</v>
      </c>
      <c r="Q262" s="47" t="n">
        <v>15</v>
      </c>
      <c r="R262" s="47" t="n">
        <v>16</v>
      </c>
      <c r="S262" s="47" t="n">
        <v>17</v>
      </c>
      <c r="T262" s="47" t="n">
        <v>18</v>
      </c>
      <c r="U262" s="47" t="n">
        <v>19</v>
      </c>
      <c r="V262" s="47" t="n">
        <v>20</v>
      </c>
      <c r="W262" s="47" t="n">
        <v>21</v>
      </c>
      <c r="X262" s="47" t="n">
        <v>22</v>
      </c>
      <c r="Y262" s="47" t="n">
        <v>23</v>
      </c>
      <c r="Z262" s="47" t="n">
        <v>24</v>
      </c>
    </row>
    <row r="263">
      <c r="A263" s="3" t="inlineStr">
        <is>
          <t>Subscription renewal orders (paying subscribers)</t>
        </is>
      </c>
      <c r="B263" s="48">
        <f>SUM(C263:Z263)</f>
        <v>63.345135726058</v>
      </c>
      <c r="C263" s="46">
        <f>IF(AND(C$262&gt;1,MOD(C$262-1,$B$252)=0),$B$243*(1-$B$250)*(1-$B$251)^((C$262-1)/$B$252-1),0)</f>
        <v>0.0</v>
      </c>
      <c r="D263" s="46">
        <f>IF(AND(D$262&gt;1,MOD(D$262-1,$B$252)=0),$B$243*(1-$B$250)*(1-$B$251)^((D$262-1)/$B$252-1),0)</f>
        <v>0.0</v>
      </c>
      <c r="E263" s="46">
        <f>IF(AND(E$262&gt;1,MOD(E$262-1,$B$252)=0),$B$243*(1-$B$250)*(1-$B$251)^((E$262-1)/$B$252-1),0)</f>
        <v>0.0</v>
      </c>
      <c r="F263" s="46">
        <f>IF(AND(F$262&gt;1,MOD(F$262-1,$B$252)=0),$B$243*(1-$B$250)*(1-$B$251)^((F$262-1)/$B$252-1),0)</f>
        <v>14.687199855</v>
      </c>
      <c r="G263" s="46">
        <f>IF(AND(G$262&gt;1,MOD(G$262-1,$B$252)=0),$B$243*(1-$B$250)*(1-$B$251)^((G$262-1)/$B$252-1),0)</f>
        <v>0.0</v>
      </c>
      <c r="H263" s="46">
        <f>IF(AND(H$262&gt;1,MOD(H$262-1,$B$252)=0),$B$243*(1-$B$250)*(1-$B$251)^((H$262-1)/$B$252-1),0)</f>
        <v>0.0</v>
      </c>
      <c r="I263" s="46">
        <f>IF(AND(I$262&gt;1,MOD(I$262-1,$B$252)=0),$B$243*(1-$B$250)*(1-$B$251)^((I$262-1)/$B$252-1),0)</f>
        <v>12.223784242907014</v>
      </c>
      <c r="J263" s="46">
        <f>IF(AND(J$262&gt;1,MOD(J$262-1,$B$252)=0),$B$243*(1-$B$250)*(1-$B$251)^((J$262-1)/$B$252-1),0)</f>
        <v>0.0</v>
      </c>
      <c r="K263" s="46">
        <f>IF(AND(K$262&gt;1,MOD(K$262-1,$B$252)=0),$B$243*(1-$B$250)*(1-$B$251)^((K$262-1)/$B$252-1),0)</f>
        <v>0.0</v>
      </c>
      <c r="L263" s="46">
        <f>IF(AND(L$262&gt;1,MOD(L$262-1,$B$252)=0),$B$243*(1-$B$250)*(1-$B$251)^((L$262-1)/$B$252-1),0)</f>
        <v>10.173545855731927</v>
      </c>
      <c r="M263" s="46">
        <f>IF(AND(M$262&gt;1,MOD(M$262-1,$B$252)=0),$B$243*(1-$B$250)*(1-$B$251)^((M$262-1)/$B$252-1),0)</f>
        <v>0.0</v>
      </c>
      <c r="N263" s="46">
        <f>IF(AND(N$262&gt;1,MOD(N$262-1,$B$252)=0),$B$243*(1-$B$250)*(1-$B$251)^((N$262-1)/$B$252-1),0)</f>
        <v>0.0</v>
      </c>
      <c r="O263" s="46">
        <f>IF(AND(O$262&gt;1,MOD(O$262-1,$B$252)=0),$B$243*(1-$B$250)*(1-$B$251)^((O$262-1)/$B$252-1),0)</f>
        <v>8.467184402304705</v>
      </c>
      <c r="P263" s="46">
        <f>IF(AND(P$262&gt;1,MOD(P$262-1,$B$252)=0),$B$243*(1-$B$250)*(1-$B$251)^((P$262-1)/$B$252-1),0)</f>
        <v>0.0</v>
      </c>
      <c r="Q263" s="46">
        <f>IF(AND(Q$262&gt;1,MOD(Q$262-1,$B$252)=0),$B$243*(1-$B$250)*(1-$B$251)^((Q$262-1)/$B$252-1),0)</f>
        <v>0.0</v>
      </c>
      <c r="R263" s="46">
        <f>IF(AND(R$262&gt;1,MOD(R$262-1,$B$252)=0),$B$243*(1-$B$250)*(1-$B$251)^((R$262-1)/$B$252-1),0)</f>
        <v>7.047023006461314</v>
      </c>
      <c r="S263" s="46">
        <f>IF(AND(S$262&gt;1,MOD(S$262-1,$B$252)=0),$B$243*(1-$B$250)*(1-$B$251)^((S$262-1)/$B$252-1),0)</f>
        <v>0.0</v>
      </c>
      <c r="T263" s="46">
        <f>IF(AND(T$262&gt;1,MOD(T$262-1,$B$252)=0),$B$243*(1-$B$250)*(1-$B$251)^((T$262-1)/$B$252-1),0)</f>
        <v>0.0</v>
      </c>
      <c r="U263" s="46">
        <f>IF(AND(U$262&gt;1,MOD(U$262-1,$B$252)=0),$B$243*(1-$B$250)*(1-$B$251)^((U$262-1)/$B$252-1),0)</f>
        <v>5.865058665791883</v>
      </c>
      <c r="V263" s="46">
        <f>IF(AND(V$262&gt;1,MOD(V$262-1,$B$252)=0),$B$243*(1-$B$250)*(1-$B$251)^((V$262-1)/$B$252-1),0)</f>
        <v>0.0</v>
      </c>
      <c r="W263" s="46">
        <f>IF(AND(W$262&gt;1,MOD(W$262-1,$B$252)=0),$B$243*(1-$B$250)*(1-$B$251)^((W$262-1)/$B$252-1),0)</f>
        <v>0.0</v>
      </c>
      <c r="X263" s="46">
        <f>IF(AND(X$262&gt;1,MOD(X$262-1,$B$252)=0),$B$243*(1-$B$250)*(1-$B$251)^((X$262-1)/$B$252-1),0)</f>
        <v>4.8813396978611525</v>
      </c>
      <c r="Y263" s="46">
        <f>IF(AND(Y$262&gt;1,MOD(Y$262-1,$B$252)=0),$B$243*(1-$B$250)*(1-$B$251)^((Y$262-1)/$B$252-1),0)</f>
        <v>0.0</v>
      </c>
      <c r="Z263" s="46">
        <f>IF(AND(Z$262&gt;1,MOD(Z$262-1,$B$252)=0),$B$243*(1-$B$250)*(1-$B$251)^((Z$262-1)/$B$252-1),0)</f>
        <v>0.0</v>
      </c>
    </row>
    <row r="264">
      <c r="A264" s="3" t="inlineStr">
        <is>
          <t>Occasional repeat orders</t>
        </is>
      </c>
      <c r="B264" s="48">
        <f>SUM(C264:Z264)</f>
        <v>38.133759999999995</v>
      </c>
      <c r="C264" s="46">
        <f>IF(AND(C$262&gt;=$B$253,MOD(C$262-$B$253,$B$254)=0),$B$244*$B$255^((C$262-$B$253)/$B$254),0)</f>
        <v>0.0</v>
      </c>
      <c r="D264" s="46">
        <f>IF(AND(D$262&gt;=$B$253,MOD(D$262-$B$253,$B$254)=0),$B$244*$B$255^((D$262-$B$253)/$B$254),0)</f>
        <v>0.0</v>
      </c>
      <c r="E264" s="46">
        <f>IF(AND(E$262&gt;=$B$253,MOD(E$262-$B$253,$B$254)=0),$B$244*$B$255^((E$262-$B$253)/$B$254),0)</f>
        <v>0.0</v>
      </c>
      <c r="F264" s="46">
        <f>IF(AND(F$262&gt;=$B$253,MOD(F$262-$B$253,$B$254)=0),$B$244*$B$255^((F$262-$B$253)/$B$254),0)</f>
        <v>16.0</v>
      </c>
      <c r="G264" s="46">
        <f>IF(AND(G$262&gt;=$B$253,MOD(G$262-$B$253,$B$254)=0),$B$244*$B$255^((G$262-$B$253)/$B$254),0)</f>
        <v>0.0</v>
      </c>
      <c r="H264" s="46">
        <f>IF(AND(H$262&gt;=$B$253,MOD(H$262-$B$253,$B$254)=0),$B$244*$B$255^((H$262-$B$253)/$B$254),0)</f>
        <v>0.0</v>
      </c>
      <c r="I264" s="46">
        <f>IF(AND(I$262&gt;=$B$253,MOD(I$262-$B$253,$B$254)=0),$B$244*$B$255^((I$262-$B$253)/$B$254),0)</f>
        <v>0.0</v>
      </c>
      <c r="J264" s="46">
        <f>IF(AND(J$262&gt;=$B$253,MOD(J$262-$B$253,$B$254)=0),$B$244*$B$255^((J$262-$B$253)/$B$254),0)</f>
        <v>9.6</v>
      </c>
      <c r="K264" s="46">
        <f>IF(AND(K$262&gt;=$B$253,MOD(K$262-$B$253,$B$254)=0),$B$244*$B$255^((K$262-$B$253)/$B$254),0)</f>
        <v>0.0</v>
      </c>
      <c r="L264" s="46">
        <f>IF(AND(L$262&gt;=$B$253,MOD(L$262-$B$253,$B$254)=0),$B$244*$B$255^((L$262-$B$253)/$B$254),0)</f>
        <v>0.0</v>
      </c>
      <c r="M264" s="46">
        <f>IF(AND(M$262&gt;=$B$253,MOD(M$262-$B$253,$B$254)=0),$B$244*$B$255^((M$262-$B$253)/$B$254),0)</f>
        <v>0.0</v>
      </c>
      <c r="N264" s="46">
        <f>IF(AND(N$262&gt;=$B$253,MOD(N$262-$B$253,$B$254)=0),$B$244*$B$255^((N$262-$B$253)/$B$254),0)</f>
        <v>5.76</v>
      </c>
      <c r="O264" s="46">
        <f>IF(AND(O$262&gt;=$B$253,MOD(O$262-$B$253,$B$254)=0),$B$244*$B$255^((O$262-$B$253)/$B$254),0)</f>
        <v>0.0</v>
      </c>
      <c r="P264" s="46">
        <f>IF(AND(P$262&gt;=$B$253,MOD(P$262-$B$253,$B$254)=0),$B$244*$B$255^((P$262-$B$253)/$B$254),0)</f>
        <v>0.0</v>
      </c>
      <c r="Q264" s="46">
        <f>IF(AND(Q$262&gt;=$B$253,MOD(Q$262-$B$253,$B$254)=0),$B$244*$B$255^((Q$262-$B$253)/$B$254),0)</f>
        <v>0.0</v>
      </c>
      <c r="R264" s="46">
        <f>IF(AND(R$262&gt;=$B$253,MOD(R$262-$B$253,$B$254)=0),$B$244*$B$255^((R$262-$B$253)/$B$254),0)</f>
        <v>3.4559999999999995</v>
      </c>
      <c r="S264" s="46">
        <f>IF(AND(S$262&gt;=$B$253,MOD(S$262-$B$253,$B$254)=0),$B$244*$B$255^((S$262-$B$253)/$B$254),0)</f>
        <v>0.0</v>
      </c>
      <c r="T264" s="46">
        <f>IF(AND(T$262&gt;=$B$253,MOD(T$262-$B$253,$B$254)=0),$B$244*$B$255^((T$262-$B$253)/$B$254),0)</f>
        <v>0.0</v>
      </c>
      <c r="U264" s="46">
        <f>IF(AND(U$262&gt;=$B$253,MOD(U$262-$B$253,$B$254)=0),$B$244*$B$255^((U$262-$B$253)/$B$254),0)</f>
        <v>0.0</v>
      </c>
      <c r="V264" s="46">
        <f>IF(AND(V$262&gt;=$B$253,MOD(V$262-$B$253,$B$254)=0),$B$244*$B$255^((V$262-$B$253)/$B$254),0)</f>
        <v>2.0736</v>
      </c>
      <c r="W264" s="46">
        <f>IF(AND(W$262&gt;=$B$253,MOD(W$262-$B$253,$B$254)=0),$B$244*$B$255^((W$262-$B$253)/$B$254),0)</f>
        <v>0.0</v>
      </c>
      <c r="X264" s="46">
        <f>IF(AND(X$262&gt;=$B$253,MOD(X$262-$B$253,$B$254)=0),$B$244*$B$255^((X$262-$B$253)/$B$254),0)</f>
        <v>0.0</v>
      </c>
      <c r="Y264" s="46">
        <f>IF(AND(Y$262&gt;=$B$253,MOD(Y$262-$B$253,$B$254)=0),$B$244*$B$255^((Y$262-$B$253)/$B$254),0)</f>
        <v>0.0</v>
      </c>
      <c r="Z264" s="46">
        <f>IF(AND(Z$262&gt;=$B$253,MOD(Z$262-$B$253,$B$254)=0),$B$244*$B$255^((Z$262-$B$253)/$B$254),0)</f>
        <v>1.2441599999999997</v>
      </c>
    </row>
    <row r="265">
      <c r="A265" s="3" t="inlineStr">
        <is>
          <t>Contribution - one-time-only segment</t>
        </is>
      </c>
      <c r="B265" s="30">
        <f>SUM(C265:Z265)</f>
        <v>319.94856480000044</v>
      </c>
      <c r="C265" s="33">
        <f>IF(C$262=1,$B$245*$B$257,0)</f>
        <v>319.94856480000044</v>
      </c>
      <c r="D265" s="33">
        <f>IF(D$262=1,$B$245*$B$257,0)</f>
        <v>0.0</v>
      </c>
      <c r="E265" s="33">
        <f>IF(E$262=1,$B$245*$B$257,0)</f>
        <v>0.0</v>
      </c>
      <c r="F265" s="33">
        <f>IF(F$262=1,$B$245*$B$257,0)</f>
        <v>0.0</v>
      </c>
      <c r="G265" s="33">
        <f>IF(G$262=1,$B$245*$B$257,0)</f>
        <v>0.0</v>
      </c>
      <c r="H265" s="33">
        <f>IF(H$262=1,$B$245*$B$257,0)</f>
        <v>0.0</v>
      </c>
      <c r="I265" s="33">
        <f>IF(I$262=1,$B$245*$B$257,0)</f>
        <v>0.0</v>
      </c>
      <c r="J265" s="33">
        <f>IF(J$262=1,$B$245*$B$257,0)</f>
        <v>0.0</v>
      </c>
      <c r="K265" s="33">
        <f>IF(K$262=1,$B$245*$B$257,0)</f>
        <v>0.0</v>
      </c>
      <c r="L265" s="33">
        <f>IF(L$262=1,$B$245*$B$257,0)</f>
        <v>0.0</v>
      </c>
      <c r="M265" s="33">
        <f>IF(M$262=1,$B$245*$B$257,0)</f>
        <v>0.0</v>
      </c>
      <c r="N265" s="33">
        <f>IF(N$262=1,$B$245*$B$257,0)</f>
        <v>0.0</v>
      </c>
      <c r="O265" s="33">
        <f>IF(O$262=1,$B$245*$B$257,0)</f>
        <v>0.0</v>
      </c>
      <c r="P265" s="33">
        <f>IF(P$262=1,$B$245*$B$257,0)</f>
        <v>0.0</v>
      </c>
      <c r="Q265" s="33">
        <f>IF(Q$262=1,$B$245*$B$257,0)</f>
        <v>0.0</v>
      </c>
      <c r="R265" s="33">
        <f>IF(R$262=1,$B$245*$B$257,0)</f>
        <v>0.0</v>
      </c>
      <c r="S265" s="33">
        <f>IF(S$262=1,$B$245*$B$257,0)</f>
        <v>0.0</v>
      </c>
      <c r="T265" s="33">
        <f>IF(T$262=1,$B$245*$B$257,0)</f>
        <v>0.0</v>
      </c>
      <c r="U265" s="33">
        <f>IF(U$262=1,$B$245*$B$257,0)</f>
        <v>0.0</v>
      </c>
      <c r="V265" s="33">
        <f>IF(V$262=1,$B$245*$B$257,0)</f>
        <v>0.0</v>
      </c>
      <c r="W265" s="33">
        <f>IF(W$262=1,$B$245*$B$257,0)</f>
        <v>0.0</v>
      </c>
      <c r="X265" s="33">
        <f>IF(X$262=1,$B$245*$B$257,0)</f>
        <v>0.0</v>
      </c>
      <c r="Y265" s="33">
        <f>IF(Y$262=1,$B$245*$B$257,0)</f>
        <v>0.0</v>
      </c>
      <c r="Z265" s="33">
        <f>IF(Z$262=1,$B$245*$B$257,0)</f>
        <v>0.0</v>
      </c>
    </row>
    <row r="266">
      <c r="A266" s="3" t="inlineStr">
        <is>
          <t>Contribution - occasional repeat segment</t>
        </is>
      </c>
      <c r="B266" s="30">
        <f>SUM(C266:Z266)</f>
        <v>11.663646083200131</v>
      </c>
      <c r="C266" s="33">
        <f>IF(C$262=1,$B$244*$B$257,0)+C264*$B$249</f>
        <v>79.98714120000011</v>
      </c>
      <c r="D266" s="33">
        <f>IF(D$262=1,$B$244*$B$257,0)+D264*$B$249</f>
        <v>0.0</v>
      </c>
      <c r="E266" s="33">
        <f>IF(E$262=1,$B$244*$B$257,0)+E264*$B$249</f>
        <v>0.0</v>
      </c>
      <c r="F266" s="33">
        <f>IF(F$262=1,$B$244*$B$257,0)+F264*$B$249</f>
        <v>-28.666879999999992</v>
      </c>
      <c r="G266" s="33">
        <f>IF(G$262=1,$B$244*$B$257,0)+G264*$B$249</f>
        <v>0.0</v>
      </c>
      <c r="H266" s="33">
        <f>IF(H$262=1,$B$244*$B$257,0)+H264*$B$249</f>
        <v>0.0</v>
      </c>
      <c r="I266" s="33">
        <f>IF(I$262=1,$B$244*$B$257,0)+I264*$B$249</f>
        <v>0.0</v>
      </c>
      <c r="J266" s="33">
        <f>IF(J$262=1,$B$244*$B$257,0)+J264*$B$249</f>
        <v>-17.200127999999996</v>
      </c>
      <c r="K266" s="33">
        <f>IF(K$262=1,$B$244*$B$257,0)+K264*$B$249</f>
        <v>0.0</v>
      </c>
      <c r="L266" s="33">
        <f>IF(L$262=1,$B$244*$B$257,0)+L264*$B$249</f>
        <v>0.0</v>
      </c>
      <c r="M266" s="33">
        <f>IF(M$262=1,$B$244*$B$257,0)+M264*$B$249</f>
        <v>0.0</v>
      </c>
      <c r="N266" s="33">
        <f>IF(N$262=1,$B$244*$B$257,0)+N264*$B$249</f>
        <v>-10.320076799999997</v>
      </c>
      <c r="O266" s="33">
        <f>IF(O$262=1,$B$244*$B$257,0)+O264*$B$249</f>
        <v>0.0</v>
      </c>
      <c r="P266" s="33">
        <f>IF(P$262=1,$B$244*$B$257,0)+P264*$B$249</f>
        <v>0.0</v>
      </c>
      <c r="Q266" s="33">
        <f>IF(Q$262=1,$B$244*$B$257,0)+Q264*$B$249</f>
        <v>0.0</v>
      </c>
      <c r="R266" s="33">
        <f>IF(R$262=1,$B$244*$B$257,0)+R264*$B$249</f>
        <v>-6.192046079999997</v>
      </c>
      <c r="S266" s="33">
        <f>IF(S$262=1,$B$244*$B$257,0)+S264*$B$249</f>
        <v>0.0</v>
      </c>
      <c r="T266" s="33">
        <f>IF(T$262=1,$B$244*$B$257,0)+T264*$B$249</f>
        <v>0.0</v>
      </c>
      <c r="U266" s="33">
        <f>IF(U$262=1,$B$244*$B$257,0)+U264*$B$249</f>
        <v>0.0</v>
      </c>
      <c r="V266" s="33">
        <f>IF(V$262=1,$B$244*$B$257,0)+V264*$B$249</f>
        <v>-3.7152276479999986</v>
      </c>
      <c r="W266" s="33">
        <f>IF(W$262=1,$B$244*$B$257,0)+W264*$B$249</f>
        <v>0.0</v>
      </c>
      <c r="X266" s="33">
        <f>IF(X$262=1,$B$244*$B$257,0)+X264*$B$249</f>
        <v>0.0</v>
      </c>
      <c r="Y266" s="33">
        <f>IF(Y$262=1,$B$244*$B$257,0)+Y264*$B$249</f>
        <v>0.0</v>
      </c>
      <c r="Z266" s="33">
        <f>IF(Z$262=1,$B$244*$B$257,0)+Z264*$B$249</f>
        <v>-2.229136588799999</v>
      </c>
    </row>
    <row r="267">
      <c r="A267" s="3" t="inlineStr">
        <is>
          <t>Contribution - subscriber segment</t>
        </is>
      </c>
      <c r="B267" s="30">
        <f>SUM(C267:Z267)</f>
        <v>-116.61348968109601</v>
      </c>
      <c r="C267" s="33">
        <f>IF(C$262=1,$B$243*$B$256,0)+C263*$B$248</f>
        <v>99.98392650000014</v>
      </c>
      <c r="D267" s="33">
        <f>IF(D$262=1,$B$243*$B$256,0)+D263*$B$248</f>
        <v>0.0</v>
      </c>
      <c r="E267" s="33">
        <f>IF(E$262=1,$B$243*$B$256,0)+E263*$B$248</f>
        <v>0.0</v>
      </c>
      <c r="F267" s="33">
        <f>IF(F$262=1,$B$243*$B$256,0)+F263*$B$248</f>
        <v>-50.22026558259832</v>
      </c>
      <c r="G267" s="33">
        <f>IF(G$262=1,$B$243*$B$256,0)+G263*$B$248</f>
        <v>0.0</v>
      </c>
      <c r="H267" s="33">
        <f>IF(H$262=1,$B$243*$B$256,0)+H263*$B$248</f>
        <v>0.0</v>
      </c>
      <c r="I267" s="33">
        <f>IF(I$262=1,$B$243*$B$256,0)+I263*$B$248</f>
        <v>-41.79705438502531</v>
      </c>
      <c r="J267" s="33">
        <f>IF(J$262=1,$B$243*$B$256,0)+J263*$B$248</f>
        <v>0.0</v>
      </c>
      <c r="K267" s="33">
        <f>IF(K$262=1,$B$243*$B$256,0)+K263*$B$248</f>
        <v>0.0</v>
      </c>
      <c r="L267" s="33">
        <f>IF(L$262=1,$B$243*$B$256,0)+L263*$B$248</f>
        <v>-34.786629162513016</v>
      </c>
      <c r="M267" s="33">
        <f>IF(M$262=1,$B$243*$B$256,0)+M263*$B$248</f>
        <v>0.0</v>
      </c>
      <c r="N267" s="33">
        <f>IF(N$262=1,$B$243*$B$256,0)+N263*$B$248</f>
        <v>0.0</v>
      </c>
      <c r="O267" s="33">
        <f>IF(O$262=1,$B$243*$B$256,0)+O263*$B$248</f>
        <v>-28.952029904857337</v>
      </c>
      <c r="P267" s="33">
        <f>IF(P$262=1,$B$243*$B$256,0)+P263*$B$248</f>
        <v>0.0</v>
      </c>
      <c r="Q267" s="33">
        <f>IF(Q$262=1,$B$243*$B$256,0)+Q263*$B$248</f>
        <v>0.0</v>
      </c>
      <c r="R267" s="33">
        <f>IF(R$262=1,$B$243*$B$256,0)+R263*$B$248</f>
        <v>-24.09604080049932</v>
      </c>
      <c r="S267" s="33">
        <f>IF(S$262=1,$B$243*$B$256,0)+S263*$B$248</f>
        <v>0.0</v>
      </c>
      <c r="T267" s="33">
        <f>IF(T$262=1,$B$243*$B$256,0)+T263*$B$248</f>
        <v>0.0</v>
      </c>
      <c r="U267" s="33">
        <f>IF(U$262=1,$B$243*$B$256,0)+U263*$B$248</f>
        <v>-20.054524127232842</v>
      </c>
      <c r="V267" s="33">
        <f>IF(V$262=1,$B$243*$B$256,0)+V263*$B$248</f>
        <v>0.0</v>
      </c>
      <c r="W267" s="33">
        <f>IF(W$262=1,$B$243*$B$256,0)+W263*$B$248</f>
        <v>0.0</v>
      </c>
      <c r="X267" s="33">
        <f>IF(X$262=1,$B$243*$B$256,0)+X263*$B$248</f>
        <v>-16.690872218369996</v>
      </c>
      <c r="Y267" s="33">
        <f>IF(Y$262=1,$B$243*$B$256,0)+Y263*$B$248</f>
        <v>0.0</v>
      </c>
      <c r="Z267" s="33">
        <f>IF(Z$262=1,$B$243*$B$256,0)+Z263*$B$248</f>
        <v>0.0</v>
      </c>
    </row>
    <row r="268">
      <c r="A268" s="16" t="inlineStr">
        <is>
          <t>Total contribution before CAC</t>
        </is>
      </c>
      <c r="B268" s="30">
        <f>SUM(C268:Z268)</f>
        <v>214.99872120210458</v>
      </c>
      <c r="C268" s="30">
        <f>SUM(C265:C267)</f>
        <v>499.9196325000007</v>
      </c>
      <c r="D268" s="30">
        <f>SUM(D265:D267)</f>
        <v>0.0</v>
      </c>
      <c r="E268" s="30">
        <f>SUM(E265:E267)</f>
        <v>0.0</v>
      </c>
      <c r="F268" s="30">
        <f>SUM(F265:F267)</f>
        <v>-78.88714558259832</v>
      </c>
      <c r="G268" s="30">
        <f>SUM(G265:G267)</f>
        <v>0.0</v>
      </c>
      <c r="H268" s="30">
        <f>SUM(H265:H267)</f>
        <v>0.0</v>
      </c>
      <c r="I268" s="30">
        <f>SUM(I265:I267)</f>
        <v>-41.79705438502531</v>
      </c>
      <c r="J268" s="30">
        <f>SUM(J265:J267)</f>
        <v>-17.200127999999996</v>
      </c>
      <c r="K268" s="30">
        <f>SUM(K265:K267)</f>
        <v>0.0</v>
      </c>
      <c r="L268" s="30">
        <f>SUM(L265:L267)</f>
        <v>-34.786629162513016</v>
      </c>
      <c r="M268" s="30">
        <f>SUM(M265:M267)</f>
        <v>0.0</v>
      </c>
      <c r="N268" s="30">
        <f>SUM(N265:N267)</f>
        <v>-10.320076799999997</v>
      </c>
      <c r="O268" s="30">
        <f>SUM(O265:O267)</f>
        <v>-28.952029904857337</v>
      </c>
      <c r="P268" s="30">
        <f>SUM(P265:P267)</f>
        <v>0.0</v>
      </c>
      <c r="Q268" s="30">
        <f>SUM(Q265:Q267)</f>
        <v>0.0</v>
      </c>
      <c r="R268" s="30">
        <f>SUM(R265:R267)</f>
        <v>-30.288086880499318</v>
      </c>
      <c r="S268" s="30">
        <f>SUM(S265:S267)</f>
        <v>0.0</v>
      </c>
      <c r="T268" s="30">
        <f>SUM(T265:T267)</f>
        <v>0.0</v>
      </c>
      <c r="U268" s="30">
        <f>SUM(U265:U267)</f>
        <v>-20.054524127232842</v>
      </c>
      <c r="V268" s="30">
        <f>SUM(V265:V267)</f>
        <v>-3.7152276479999986</v>
      </c>
      <c r="W268" s="30">
        <f>SUM(W265:W267)</f>
        <v>0.0</v>
      </c>
      <c r="X268" s="30">
        <f>SUM(X265:X267)</f>
        <v>-16.690872218369996</v>
      </c>
      <c r="Y268" s="30">
        <f>SUM(Y265:Y267)</f>
        <v>0.0</v>
      </c>
      <c r="Z268" s="30">
        <f>SUM(Z265:Z267)</f>
        <v>-2.229136588799999</v>
      </c>
    </row>
    <row r="269">
      <c r="A269" s="3" t="inlineStr">
        <is>
          <t>CAC (paid, month 1)</t>
        </is>
      </c>
      <c r="B269" s="30">
        <f>SUM(C269:Z269)</f>
        <v>-5850.0</v>
      </c>
      <c r="C269" s="33">
        <f>IF(C$262=1,-$B$240*$B$247,0)</f>
        <v>-5850.0</v>
      </c>
      <c r="D269" s="33">
        <f>IF(D$262=1,-$B$240*$B$247,0)</f>
        <v>0.0</v>
      </c>
      <c r="E269" s="33">
        <f>IF(E$262=1,-$B$240*$B$247,0)</f>
        <v>0.0</v>
      </c>
      <c r="F269" s="33">
        <f>IF(F$262=1,-$B$240*$B$247,0)</f>
        <v>0.0</v>
      </c>
      <c r="G269" s="33">
        <f>IF(G$262=1,-$B$240*$B$247,0)</f>
        <v>0.0</v>
      </c>
      <c r="H269" s="33">
        <f>IF(H$262=1,-$B$240*$B$247,0)</f>
        <v>0.0</v>
      </c>
      <c r="I269" s="33">
        <f>IF(I$262=1,-$B$240*$B$247,0)</f>
        <v>0.0</v>
      </c>
      <c r="J269" s="33">
        <f>IF(J$262=1,-$B$240*$B$247,0)</f>
        <v>0.0</v>
      </c>
      <c r="K269" s="33">
        <f>IF(K$262=1,-$B$240*$B$247,0)</f>
        <v>0.0</v>
      </c>
      <c r="L269" s="33">
        <f>IF(L$262=1,-$B$240*$B$247,0)</f>
        <v>0.0</v>
      </c>
      <c r="M269" s="33">
        <f>IF(M$262=1,-$B$240*$B$247,0)</f>
        <v>0.0</v>
      </c>
      <c r="N269" s="33">
        <f>IF(N$262=1,-$B$240*$B$247,0)</f>
        <v>0.0</v>
      </c>
      <c r="O269" s="33">
        <f>IF(O$262=1,-$B$240*$B$247,0)</f>
        <v>0.0</v>
      </c>
      <c r="P269" s="33">
        <f>IF(P$262=1,-$B$240*$B$247,0)</f>
        <v>0.0</v>
      </c>
      <c r="Q269" s="33">
        <f>IF(Q$262=1,-$B$240*$B$247,0)</f>
        <v>0.0</v>
      </c>
      <c r="R269" s="33">
        <f>IF(R$262=1,-$B$240*$B$247,0)</f>
        <v>0.0</v>
      </c>
      <c r="S269" s="33">
        <f>IF(S$262=1,-$B$240*$B$247,0)</f>
        <v>0.0</v>
      </c>
      <c r="T269" s="33">
        <f>IF(T$262=1,-$B$240*$B$247,0)</f>
        <v>0.0</v>
      </c>
      <c r="U269" s="33">
        <f>IF(U$262=1,-$B$240*$B$247,0)</f>
        <v>0.0</v>
      </c>
      <c r="V269" s="33">
        <f>IF(V$262=1,-$B$240*$B$247,0)</f>
        <v>0.0</v>
      </c>
      <c r="W269" s="33">
        <f>IF(W$262=1,-$B$240*$B$247,0)</f>
        <v>0.0</v>
      </c>
      <c r="X269" s="33">
        <f>IF(X$262=1,-$B$240*$B$247,0)</f>
        <v>0.0</v>
      </c>
      <c r="Y269" s="33">
        <f>IF(Y$262=1,-$B$240*$B$247,0)</f>
        <v>0.0</v>
      </c>
      <c r="Z269" s="33">
        <f>IF(Z$262=1,-$B$240*$B$247,0)</f>
        <v>0.0</v>
      </c>
    </row>
    <row r="270">
      <c r="A270" s="3" t="inlineStr">
        <is>
          <t>Net contribution after CAC</t>
        </is>
      </c>
      <c r="B270" s="30">
        <f>SUM(C270:Z270)</f>
        <v>-5635.001278797895</v>
      </c>
      <c r="C270" s="33">
        <f>C268+C269</f>
        <v>-5350.080367499999</v>
      </c>
      <c r="D270" s="33">
        <f>D268+D269</f>
        <v>0.0</v>
      </c>
      <c r="E270" s="33">
        <f>E268+E269</f>
        <v>0.0</v>
      </c>
      <c r="F270" s="33">
        <f>F268+F269</f>
        <v>-78.88714558259832</v>
      </c>
      <c r="G270" s="33">
        <f>G268+G269</f>
        <v>0.0</v>
      </c>
      <c r="H270" s="33">
        <f>H268+H269</f>
        <v>0.0</v>
      </c>
      <c r="I270" s="33">
        <f>I268+I269</f>
        <v>-41.79705438502531</v>
      </c>
      <c r="J270" s="33">
        <f>J268+J269</f>
        <v>-17.200127999999996</v>
      </c>
      <c r="K270" s="33">
        <f>K268+K269</f>
        <v>0.0</v>
      </c>
      <c r="L270" s="33">
        <f>L268+L269</f>
        <v>-34.786629162513016</v>
      </c>
      <c r="M270" s="33">
        <f>M268+M269</f>
        <v>0.0</v>
      </c>
      <c r="N270" s="33">
        <f>N268+N269</f>
        <v>-10.320076799999997</v>
      </c>
      <c r="O270" s="33">
        <f>O268+O269</f>
        <v>-28.952029904857337</v>
      </c>
      <c r="P270" s="33">
        <f>P268+P269</f>
        <v>0.0</v>
      </c>
      <c r="Q270" s="33">
        <f>Q268+Q269</f>
        <v>0.0</v>
      </c>
      <c r="R270" s="33">
        <f>R268+R269</f>
        <v>-30.288086880499318</v>
      </c>
      <c r="S270" s="33">
        <f>S268+S269</f>
        <v>0.0</v>
      </c>
      <c r="T270" s="33">
        <f>T268+T269</f>
        <v>0.0</v>
      </c>
      <c r="U270" s="33">
        <f>U268+U269</f>
        <v>-20.054524127232842</v>
      </c>
      <c r="V270" s="33">
        <f>V268+V269</f>
        <v>-3.7152276479999986</v>
      </c>
      <c r="W270" s="33">
        <f>W268+W269</f>
        <v>0.0</v>
      </c>
      <c r="X270" s="33">
        <f>X268+X269</f>
        <v>-16.690872218369996</v>
      </c>
      <c r="Y270" s="33">
        <f>Y268+Y269</f>
        <v>0.0</v>
      </c>
      <c r="Z270" s="33">
        <f>Z268+Z269</f>
        <v>-2.229136588799999</v>
      </c>
    </row>
    <row r="271">
      <c r="A271" s="16" t="inlineStr">
        <is>
          <t>CUMULATIVE contribution after CAC</t>
        </is>
      </c>
      <c r="C271" s="49">
        <f>C270</f>
        <v>-5350.080367499999</v>
      </c>
      <c r="D271" s="49">
        <f>C271+D270</f>
        <v>-5350.080367499999</v>
      </c>
      <c r="E271" s="49">
        <f>D271+E270</f>
        <v>-5350.080367499999</v>
      </c>
      <c r="F271" s="49">
        <f>E271+F270</f>
        <v>-5428.967513082597</v>
      </c>
      <c r="G271" s="49">
        <f>F271+G270</f>
        <v>-5428.967513082597</v>
      </c>
      <c r="H271" s="49">
        <f>G271+H270</f>
        <v>-5428.967513082597</v>
      </c>
      <c r="I271" s="49">
        <f>H271+I270</f>
        <v>-5470.764567467622</v>
      </c>
      <c r="J271" s="49">
        <f>I271+J270</f>
        <v>-5487.964695467623</v>
      </c>
      <c r="K271" s="49">
        <f>J271+K270</f>
        <v>-5487.964695467623</v>
      </c>
      <c r="L271" s="49">
        <f>K271+L270</f>
        <v>-5522.751324630136</v>
      </c>
      <c r="M271" s="49">
        <f>L271+M270</f>
        <v>-5522.751324630136</v>
      </c>
      <c r="N271" s="49">
        <f>M271+N270</f>
        <v>-5533.071401430136</v>
      </c>
      <c r="O271" s="49">
        <f>N271+O270</f>
        <v>-5562.023431334993</v>
      </c>
      <c r="P271" s="49">
        <f>O271+P270</f>
        <v>-5562.023431334993</v>
      </c>
      <c r="Q271" s="49">
        <f>P271+Q270</f>
        <v>-5562.023431334993</v>
      </c>
      <c r="R271" s="49">
        <f>Q271+R270</f>
        <v>-5592.3115182154925</v>
      </c>
      <c r="S271" s="49">
        <f>R271+S270</f>
        <v>-5592.3115182154925</v>
      </c>
      <c r="T271" s="49">
        <f>S271+T270</f>
        <v>-5592.3115182154925</v>
      </c>
      <c r="U271" s="49">
        <f>T271+U270</f>
        <v>-5612.366042342725</v>
      </c>
      <c r="V271" s="49">
        <f>U271+V270</f>
        <v>-5616.081269990726</v>
      </c>
      <c r="W271" s="49">
        <f>V271+W270</f>
        <v>-5616.081269990726</v>
      </c>
      <c r="X271" s="49">
        <f>W271+X270</f>
        <v>-5632.772142209095</v>
      </c>
      <c r="Y271" s="49">
        <f>X271+Y270</f>
        <v>-5632.772142209095</v>
      </c>
      <c r="Z271" s="49">
        <f>Y271+Z270</f>
        <v>-5635.001278797896</v>
      </c>
    </row>
    <row r="272">
      <c r="A272" s="3" t="inlineStr">
        <is>
          <t>Cumulative contribution before CAC, per customer</t>
        </is>
      </c>
      <c r="C272" s="26">
        <f>SUM($C268:C268)/$B$240</f>
        <v>4.999196325000007</v>
      </c>
      <c r="D272" s="26">
        <f>SUM($C268:D268)/$B$240</f>
        <v>4.999196325000007</v>
      </c>
      <c r="E272" s="26">
        <f>SUM($C268:E268)/$B$240</f>
        <v>4.999196325000007</v>
      </c>
      <c r="F272" s="26">
        <f>SUM($C268:F268)/$B$240</f>
        <v>4.210324869174023</v>
      </c>
      <c r="G272" s="26">
        <f>SUM($C268:G268)/$B$240</f>
        <v>4.210324869174023</v>
      </c>
      <c r="H272" s="26">
        <f>SUM($C268:H268)/$B$240</f>
        <v>4.210324869174023</v>
      </c>
      <c r="I272" s="26">
        <f>SUM($C268:I268)/$B$240</f>
        <v>3.792354325323771</v>
      </c>
      <c r="J272" s="26">
        <f>SUM($C268:J268)/$B$240</f>
        <v>3.620353045323771</v>
      </c>
      <c r="K272" s="26">
        <f>SUM($C268:K268)/$B$240</f>
        <v>3.620353045323771</v>
      </c>
      <c r="L272" s="26">
        <f>SUM($C268:L268)/$B$240</f>
        <v>3.272486753698641</v>
      </c>
      <c r="M272" s="26">
        <f>SUM($C268:M268)/$B$240</f>
        <v>3.272486753698641</v>
      </c>
      <c r="N272" s="26">
        <f>SUM($C268:N268)/$B$240</f>
        <v>3.1692859856986404</v>
      </c>
      <c r="O272" s="26">
        <f>SUM($C268:O268)/$B$240</f>
        <v>2.879765686650067</v>
      </c>
      <c r="P272" s="26">
        <f>SUM($C268:P268)/$B$240</f>
        <v>2.879765686650067</v>
      </c>
      <c r="Q272" s="26">
        <f>SUM($C268:Q268)/$B$240</f>
        <v>2.879765686650067</v>
      </c>
      <c r="R272" s="26">
        <f>SUM($C268:R268)/$B$240</f>
        <v>2.576884817845074</v>
      </c>
      <c r="S272" s="26">
        <f>SUM($C268:S268)/$B$240</f>
        <v>2.576884817845074</v>
      </c>
      <c r="T272" s="26">
        <f>SUM($C268:T268)/$B$240</f>
        <v>2.576884817845074</v>
      </c>
      <c r="U272" s="26">
        <f>SUM($C268:U268)/$B$240</f>
        <v>2.3763395765727457</v>
      </c>
      <c r="V272" s="26">
        <f>SUM($C268:V268)/$B$240</f>
        <v>2.3391873000927457</v>
      </c>
      <c r="W272" s="26">
        <f>SUM($C268:W268)/$B$240</f>
        <v>2.3391873000927457</v>
      </c>
      <c r="X272" s="26">
        <f>SUM($C268:X268)/$B$240</f>
        <v>2.172278577909046</v>
      </c>
      <c r="Y272" s="26">
        <f>SUM($C268:Y268)/$B$240</f>
        <v>2.172278577909046</v>
      </c>
      <c r="Z272" s="26">
        <f>SUM($C268:Z268)/$B$240</f>
        <v>2.149987212021046</v>
      </c>
    </row>
    <row r="273">
      <c r="A273" s="3" t="inlineStr">
        <is>
          <t>Gross revenue (reference only - NOT used for LTV)</t>
        </is>
      </c>
      <c r="B273" s="30">
        <f>SUM(C273:Z273)</f>
        <v>7115.253052787152</v>
      </c>
      <c r="C273" s="50">
        <f>IF(C$262=1,$B$240*$B$258,0)+C263*$B$259+C264*$B$260</f>
        <v>5498.75</v>
      </c>
      <c r="D273" s="50">
        <f>IF(D$262=1,$B$240*$B$258,0)+D263*$B$259+D264*$B$260</f>
        <v>0.0</v>
      </c>
      <c r="E273" s="50">
        <f>IF(E$262=1,$B$240*$B$258,0)+E263*$B$259+E264*$B$260</f>
        <v>0.0</v>
      </c>
      <c r="F273" s="50">
        <f>IF(F$262=1,$B$240*$B$258,0)+F263*$B$259+F264*$B$260</f>
        <v>496.42197298280496</v>
      </c>
      <c r="G273" s="50">
        <f>IF(G$262=1,$B$240*$B$258,0)+G263*$B$259+G264*$B$260</f>
        <v>0.0</v>
      </c>
      <c r="H273" s="50">
        <f>IF(H$262=1,$B$240*$B$258,0)+H263*$B$259+H264*$B$260</f>
        <v>0.0</v>
      </c>
      <c r="I273" s="50">
        <f>IF(I$262=1,$B$240*$B$258,0)+I263*$B$259+I264*$B$260</f>
        <v>186.91388485829114</v>
      </c>
      <c r="J273" s="50">
        <f>IF(J$262=1,$B$240*$B$258,0)+J263*$B$259+J264*$B$260</f>
        <v>163.10399999999998</v>
      </c>
      <c r="K273" s="50">
        <f>IF(K$262=1,$B$240*$B$258,0)+K263*$B$259+K264*$B$260</f>
        <v>0.0</v>
      </c>
      <c r="L273" s="50">
        <f>IF(L$262=1,$B$240*$B$258,0)+L263*$B$259+L264*$B$260</f>
        <v>155.56368967999688</v>
      </c>
      <c r="M273" s="50">
        <f>IF(M$262=1,$B$240*$B$258,0)+M263*$B$259+M264*$B$260</f>
        <v>0.0</v>
      </c>
      <c r="N273" s="50">
        <f>IF(N$262=1,$B$240*$B$258,0)+N263*$B$259+N264*$B$260</f>
        <v>97.8624</v>
      </c>
      <c r="O273" s="50">
        <f>IF(O$262=1,$B$240*$B$258,0)+O263*$B$259+O264*$B$260</f>
        <v>129.47171669564122</v>
      </c>
      <c r="P273" s="50">
        <f>IF(P$262=1,$B$240*$B$258,0)+P263*$B$259+P264*$B$260</f>
        <v>0.0</v>
      </c>
      <c r="Q273" s="50">
        <f>IF(Q$262=1,$B$240*$B$258,0)+Q263*$B$259+Q264*$B$260</f>
        <v>0.0</v>
      </c>
      <c r="R273" s="50">
        <f>IF(R$262=1,$B$240*$B$258,0)+R263*$B$259+R264*$B$260</f>
        <v>166.47346879179995</v>
      </c>
      <c r="S273" s="50">
        <f>IF(S$262=1,$B$240*$B$258,0)+S263*$B$259+S264*$B$260</f>
        <v>0.0</v>
      </c>
      <c r="T273" s="50">
        <f>IF(T$262=1,$B$240*$B$258,0)+T263*$B$259+T264*$B$260</f>
        <v>0.0</v>
      </c>
      <c r="U273" s="50">
        <f>IF(U$262=1,$B$240*$B$258,0)+U263*$B$259+U264*$B$260</f>
        <v>89.68261205862368</v>
      </c>
      <c r="V273" s="50">
        <f>IF(V$262=1,$B$240*$B$258,0)+V263*$B$259+V264*$B$260</f>
        <v>35.230464</v>
      </c>
      <c r="W273" s="50">
        <f>IF(W$262=1,$B$240*$B$258,0)+W263*$B$259+W264*$B$260</f>
        <v>0.0</v>
      </c>
      <c r="X273" s="50">
        <f>IF(X$262=1,$B$240*$B$258,0)+X263*$B$259+X264*$B$260</f>
        <v>74.64056531999488</v>
      </c>
      <c r="Y273" s="50">
        <f>IF(Y$262=1,$B$240*$B$258,0)+Y263*$B$259+Y264*$B$260</f>
        <v>0.0</v>
      </c>
      <c r="Z273" s="50">
        <f>IF(Z$262=1,$B$240*$B$258,0)+Z263*$B$259+Z264*$B$260</f>
        <v>21.138278399999994</v>
      </c>
    </row>
    <row r="274">
      <c r="A274" s="3" t="inlineStr">
        <is>
          <t>Payback helper (month if cumulative &gt;= 0, else 99)</t>
        </is>
      </c>
      <c r="C274" s="51">
        <f>IF(C271&gt;=0,C$262,99)</f>
        <v>99.0</v>
      </c>
      <c r="D274" s="51">
        <f>IF(D271&gt;=0,D$262,99)</f>
        <v>99.0</v>
      </c>
      <c r="E274" s="51">
        <f>IF(E271&gt;=0,E$262,99)</f>
        <v>99.0</v>
      </c>
      <c r="F274" s="51">
        <f>IF(F271&gt;=0,F$262,99)</f>
        <v>99.0</v>
      </c>
      <c r="G274" s="51">
        <f>IF(G271&gt;=0,G$262,99)</f>
        <v>99.0</v>
      </c>
      <c r="H274" s="51">
        <f>IF(H271&gt;=0,H$262,99)</f>
        <v>99.0</v>
      </c>
      <c r="I274" s="51">
        <f>IF(I271&gt;=0,I$262,99)</f>
        <v>99.0</v>
      </c>
      <c r="J274" s="51">
        <f>IF(J271&gt;=0,J$262,99)</f>
        <v>99.0</v>
      </c>
      <c r="K274" s="51">
        <f>IF(K271&gt;=0,K$262,99)</f>
        <v>99.0</v>
      </c>
      <c r="L274" s="51">
        <f>IF(L271&gt;=0,L$262,99)</f>
        <v>99.0</v>
      </c>
      <c r="M274" s="51">
        <f>IF(M271&gt;=0,M$262,99)</f>
        <v>99.0</v>
      </c>
      <c r="N274" s="51">
        <f>IF(N271&gt;=0,N$262,99)</f>
        <v>99.0</v>
      </c>
      <c r="O274" s="51">
        <f>IF(O271&gt;=0,O$262,99)</f>
        <v>99.0</v>
      </c>
      <c r="P274" s="51">
        <f>IF(P271&gt;=0,P$262,99)</f>
        <v>99.0</v>
      </c>
      <c r="Q274" s="51">
        <f>IF(Q271&gt;=0,Q$262,99)</f>
        <v>99.0</v>
      </c>
      <c r="R274" s="51">
        <f>IF(R271&gt;=0,R$262,99)</f>
        <v>99.0</v>
      </c>
      <c r="S274" s="51">
        <f>IF(S271&gt;=0,S$262,99)</f>
        <v>99.0</v>
      </c>
      <c r="T274" s="51">
        <f>IF(T271&gt;=0,T$262,99)</f>
        <v>99.0</v>
      </c>
      <c r="U274" s="51">
        <f>IF(U271&gt;=0,U$262,99)</f>
        <v>99.0</v>
      </c>
      <c r="V274" s="51">
        <f>IF(V271&gt;=0,V$262,99)</f>
        <v>99.0</v>
      </c>
      <c r="W274" s="51">
        <f>IF(W271&gt;=0,W$262,99)</f>
        <v>99.0</v>
      </c>
      <c r="X274" s="51">
        <f>IF(X271&gt;=0,X$262,99)</f>
        <v>99.0</v>
      </c>
      <c r="Y274" s="51">
        <f>IF(Y271&gt;=0,Y$262,99)</f>
        <v>99.0</v>
      </c>
      <c r="Z274" s="51">
        <f>IF(Z271&gt;=0,Z$262,99)</f>
        <v>99.0</v>
      </c>
    </row>
    <row r="276">
      <c r="A276" s="16" t="inlineStr">
        <is>
          <t>FIRST-ORDER contribution before ads, per customer</t>
        </is>
      </c>
      <c r="B276" s="42">
        <f>$B$246</f>
        <v>4.999196325000007</v>
      </c>
    </row>
    <row r="277">
      <c r="A277" s="16" t="inlineStr">
        <is>
          <t>FIRST-ORDER contribution after CAC, per customer</t>
        </is>
      </c>
      <c r="B277" s="42">
        <f>$B$246-$B$247</f>
        <v>-53.50080367499999</v>
      </c>
    </row>
    <row r="278">
      <c r="A278" s="16" t="inlineStr">
        <is>
          <t>Is the first order profitable after CAC?</t>
        </is>
      </c>
      <c r="B278" s="52" t="str">
        <f>IF(B277&gt;=0,"YES - first order covers CAC","NO - first order loses money after CAC")</f>
        <v>NO - first order loses money after CAC</v>
      </c>
    </row>
    <row r="279">
      <c r="A279" s="3" t="inlineStr">
        <is>
          <t>Payback month (numeric; 99 = none within 24 months)</t>
        </is>
      </c>
      <c r="B279" s="41">
        <f>MIN(C274:Z274)</f>
        <v>99.0</v>
      </c>
    </row>
    <row r="280">
      <c r="A280" s="16" t="inlineStr">
        <is>
          <t>Payback (display)</t>
        </is>
      </c>
      <c r="B280" s="52" t="str">
        <f>IF(B279&gt;24,"No payback within 24 months","Month "&amp;B279)</f>
        <v>No payback within 24 months</v>
      </c>
    </row>
    <row r="281">
      <c r="A281" s="16" t="inlineStr">
        <is>
          <t>12-month contribution LTV per customer (before CAC)</t>
        </is>
      </c>
      <c r="B281" s="42">
        <f>SUM(C268:N268)/$B$240</f>
        <v>3.1692859856986404</v>
      </c>
    </row>
    <row r="282">
      <c r="A282" s="16" t="inlineStr">
        <is>
          <t>24-month contribution LTV per customer (before CAC)</t>
        </is>
      </c>
      <c r="B282" s="42">
        <f>SUM(C268:Z268)/$B$240</f>
        <v>2.149987212021046</v>
      </c>
    </row>
    <row r="283">
      <c r="A283" s="16" t="inlineStr">
        <is>
          <t>12-month contribution LTV net of CAC</t>
        </is>
      </c>
      <c r="B283" s="42">
        <f>B281-$B$247</f>
        <v>-55.33071401430136</v>
      </c>
    </row>
    <row r="284">
      <c r="A284" s="3" t="inlineStr">
        <is>
          <t>24-month contribution LTV net of CAC</t>
        </is>
      </c>
      <c r="B284" s="26">
        <f>B282-$B$247</f>
        <v>-56.350012787978955</v>
      </c>
    </row>
    <row r="285">
      <c r="A285" s="16" t="inlineStr">
        <is>
          <t>12-month LTV:CAC (contribution basis)</t>
        </is>
      </c>
      <c r="B285" s="53">
        <f>IFERROR(B281/$B$247,0)</f>
        <v>0.05417582881536137</v>
      </c>
    </row>
    <row r="286">
      <c r="A286" s="3" t="inlineStr">
        <is>
          <t>24-month LTV:CAC</t>
        </is>
      </c>
      <c r="B286" s="37">
        <f>IFERROR(B282/$B$247,0)</f>
        <v>0.03675191815420591</v>
      </c>
    </row>
    <row r="287">
      <c r="A287" s="3" t="inlineStr">
        <is>
          <t>12-month LTV : blended CAC (info only)</t>
        </is>
      </c>
      <c r="B287" s="37">
        <f>IFERROR(B281/($B$247*Inputs!$E$121),0)</f>
        <v>0.0637362691945428</v>
      </c>
    </row>
    <row r="288">
      <c r="A288" s="3" t="inlineStr">
        <is>
          <t>Cohort contribution from subscription renewals, months 1-24</t>
        </is>
      </c>
      <c r="B288" s="33">
        <f>B263*$B$248</f>
        <v>-216.59741618109615</v>
      </c>
    </row>
    <row r="289">
      <c r="A289" s="3" t="inlineStr">
        <is>
          <t>Renewal contribution per subscriber, 12 months</t>
        </is>
      </c>
      <c r="B289" s="26">
        <f>IFERROR(SUM(C263:N263)*$B$248/$B$243,0)</f>
        <v>-6.340197456506833</v>
      </c>
    </row>
    <row r="290">
      <c r="A290" s="3" t="inlineStr">
        <is>
          <t>Repeat contribution per occasional buyer, 12 months</t>
        </is>
      </c>
      <c r="B290" s="26">
        <f>IFERROR(SUM(C264:N264)*$B$249/$B$244,0)</f>
        <v>-3.5116927999999987</v>
      </c>
    </row>
    <row r="291">
      <c r="A291" s="3" t="inlineStr">
        <is>
          <t>Orders per acquired customer, 12 months</t>
        </is>
      </c>
      <c r="B291" s="11">
        <f>($B$240+SUM(C263:N263)+SUM(C264:N264))/$B$240</f>
        <v>1.6844452995363894</v>
      </c>
    </row>
    <row r="292">
      <c r="A292" s="3" t="inlineStr">
        <is>
          <t>Renewal contribution per subscriber, 24 months</t>
        </is>
      </c>
      <c r="B292" s="26">
        <f>IFERROR(SUM(C263:Z263)*$B$248/$B$243,0)</f>
        <v>-10.829870809054807</v>
      </c>
    </row>
    <row r="293">
      <c r="A293" s="3" t="inlineStr">
        <is>
          <t>Repeat contribution per occasional buyer, 24 months</t>
        </is>
      </c>
      <c r="B293" s="26">
        <f>IFERROR(SUM(C264:Z264)*$B$249/$B$244,0)</f>
        <v>-4.2702184447999985</v>
      </c>
    </row>
    <row r="296">
      <c r="A296" s="43" t="inlineStr">
        <is>
          <t>Engine cohort: BASE + supplier/COGS shock (sensitivity)</t>
        </is>
      </c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</row>
    <row r="298">
      <c r="A298" s="3" t="inlineStr">
        <is>
          <t>Customers acquired (N)</t>
        </is>
      </c>
      <c r="B298" s="12">
        <f>Inputs!$E$9</f>
        <v>100.0</v>
      </c>
    </row>
    <row r="299">
      <c r="A299" s="3" t="inlineStr">
        <is>
          <t>Subscription attach (after any shock)</t>
        </is>
      </c>
      <c r="B299" s="34">
        <f>MIN(1,Inputs!$E$133*Cat_UnitEcon!$AF$10)</f>
        <v>0.2</v>
      </c>
    </row>
    <row r="300">
      <c r="A300" s="3" t="inlineStr">
        <is>
          <t>Non-subscriber 12-month repeat rate</t>
        </is>
      </c>
      <c r="B300" s="45">
        <f>Inputs!$E$139</f>
        <v>0.2</v>
      </c>
    </row>
    <row r="301">
      <c r="A301" s="3" t="inlineStr">
        <is>
          <t>Segment: subscribers</t>
        </is>
      </c>
      <c r="B301" s="46">
        <f>$B$298*$B$299</f>
        <v>20.0</v>
      </c>
    </row>
    <row r="302">
      <c r="A302" s="3" t="inlineStr">
        <is>
          <t>Segment: occasional repeat buyers</t>
        </is>
      </c>
      <c r="B302" s="46">
        <f>$B$298*(1-$B$299)*$B$300</f>
        <v>16.0</v>
      </c>
    </row>
    <row r="303">
      <c r="A303" s="3" t="inlineStr">
        <is>
          <t>Segment: one-time only</t>
        </is>
      </c>
      <c r="B303" s="46">
        <f>$B$298-$B$301-$B$302</f>
        <v>64.0</v>
      </c>
    </row>
    <row r="304">
      <c r="A304" s="3" t="inlineStr">
        <is>
          <t>First-order contribution before ads, per customer (mix)</t>
        </is>
      </c>
      <c r="B304" s="39">
        <f>Cat_UnitEcon!$AF$57</f>
        <v>2.3362213687500066</v>
      </c>
    </row>
    <row r="305">
      <c r="A305" s="3" t="inlineStr">
        <is>
          <t>Paid CAC per new customer</t>
        </is>
      </c>
      <c r="B305" s="39">
        <f>Cat_UnitEcon!$AF$60</f>
        <v>45.0</v>
      </c>
    </row>
    <row r="306">
      <c r="A306" s="3" t="inlineStr">
        <is>
          <t>Contribution per subscription renewal order</t>
        </is>
      </c>
      <c r="B306" s="39">
        <f>Cat_UnitEcon!$AI$50</f>
        <v>-4.025697000000001</v>
      </c>
    </row>
    <row r="307">
      <c r="A307" s="3" t="inlineStr">
        <is>
          <t>Contribution per occasional repeat order</t>
        </is>
      </c>
      <c r="B307" s="39">
        <f>Cat_UnitEcon!$AJ$50</f>
        <v>-2.3980549999999994</v>
      </c>
    </row>
    <row r="308">
      <c r="A308" s="3" t="inlineStr">
        <is>
          <t>Churn before first renewal (incl. involuntary)</t>
        </is>
      </c>
      <c r="B308" s="34">
        <f>1-(1-MIN(1,Inputs!$E$135*Cat_UnitEcon!$AF$11))*(1-MIN(1,Inputs!$E$137*Cat_UnitEcon!$AF$11))^$B$310</f>
        <v>0.26564000725000003</v>
      </c>
    </row>
    <row r="309">
      <c r="A309" s="3" t="inlineStr">
        <is>
          <t>Churn per later cycle (incl. involuntary)</t>
        </is>
      </c>
      <c r="B309" s="34">
        <f>1-(1-MIN(1,Inputs!$E$136*Cat_UnitEcon!$AF$11))*(1-MIN(1,Inputs!$E$137*Cat_UnitEcon!$AF$11))^$B$310</f>
        <v>0.16772534154999996</v>
      </c>
    </row>
    <row r="310">
      <c r="A310" s="3" t="inlineStr">
        <is>
          <t>Renewal cadence (months)</t>
        </is>
      </c>
      <c r="B310" s="12">
        <f>Inputs!$E$134</f>
        <v>3.0</v>
      </c>
    </row>
    <row r="311">
      <c r="A311" s="3" t="inlineStr">
        <is>
          <t>Occasional: month of first repeat</t>
        </is>
      </c>
      <c r="B311" s="12">
        <f>Inputs!$E$140</f>
        <v>4.0</v>
      </c>
    </row>
    <row r="312">
      <c r="A312" s="3" t="inlineStr">
        <is>
          <t>Occasional: months between orders</t>
        </is>
      </c>
      <c r="B312" s="12">
        <f>Inputs!$E$141</f>
        <v>4.0</v>
      </c>
    </row>
    <row r="313">
      <c r="A313" s="3" t="inlineStr">
        <is>
          <t>Occasional: probability of each further order</t>
        </is>
      </c>
      <c r="B313" s="45">
        <f>Inputs!$E$142</f>
        <v>0.6</v>
      </c>
    </row>
    <row r="314">
      <c r="A314" s="3" t="inlineStr">
        <is>
          <t>First-order contribution - subscriber</t>
        </is>
      </c>
      <c r="B314" s="39">
        <f>Cat_UnitEcon!$AF$63</f>
        <v>2.3362213687500066</v>
      </c>
    </row>
    <row r="315">
      <c r="A315" s="3" t="inlineStr">
        <is>
          <t>First-order contribution - non-subscriber</t>
        </is>
      </c>
      <c r="B315" s="39">
        <f>Cat_UnitEcon!$AF$64</f>
        <v>2.3362213687500066</v>
      </c>
    </row>
    <row r="316">
      <c r="A316" s="3" t="inlineStr">
        <is>
          <t>First-order gross revenue (mix) - reference</t>
        </is>
      </c>
      <c r="B316" s="39">
        <f>Cat_UnitEcon!$AF$59</f>
        <v>54.9875</v>
      </c>
    </row>
    <row r="317">
      <c r="A317" s="3" t="inlineStr">
        <is>
          <t>Renewal order gross revenue - reference</t>
        </is>
      </c>
      <c r="B317" s="39">
        <f>Cat_UnitEcon!$AI$35</f>
        <v>15.290999999999999</v>
      </c>
    </row>
    <row r="318">
      <c r="A318" s="3" t="inlineStr">
        <is>
          <t>Occasional order gross revenue - reference</t>
        </is>
      </c>
      <c r="B318" s="39">
        <f>Cat_UnitEcon!$AJ$35</f>
        <v>16.99</v>
      </c>
    </row>
    <row r="320">
      <c r="A320" s="4" t="inlineStr">
        <is>
          <t>Month</t>
        </is>
      </c>
      <c r="B320" s="4" t="inlineStr">
        <is>
          <t>Total 1-24</t>
        </is>
      </c>
      <c r="C320" s="47" t="n">
        <v>1</v>
      </c>
      <c r="D320" s="47" t="n">
        <v>2</v>
      </c>
      <c r="E320" s="47" t="n">
        <v>3</v>
      </c>
      <c r="F320" s="47" t="n">
        <v>4</v>
      </c>
      <c r="G320" s="47" t="n">
        <v>5</v>
      </c>
      <c r="H320" s="47" t="n">
        <v>6</v>
      </c>
      <c r="I320" s="47" t="n">
        <v>7</v>
      </c>
      <c r="J320" s="47" t="n">
        <v>8</v>
      </c>
      <c r="K320" s="47" t="n">
        <v>9</v>
      </c>
      <c r="L320" s="47" t="n">
        <v>10</v>
      </c>
      <c r="M320" s="47" t="n">
        <v>11</v>
      </c>
      <c r="N320" s="47" t="n">
        <v>12</v>
      </c>
      <c r="O320" s="47" t="n">
        <v>13</v>
      </c>
      <c r="P320" s="47" t="n">
        <v>14</v>
      </c>
      <c r="Q320" s="47" t="n">
        <v>15</v>
      </c>
      <c r="R320" s="47" t="n">
        <v>16</v>
      </c>
      <c r="S320" s="47" t="n">
        <v>17</v>
      </c>
      <c r="T320" s="47" t="n">
        <v>18</v>
      </c>
      <c r="U320" s="47" t="n">
        <v>19</v>
      </c>
      <c r="V320" s="47" t="n">
        <v>20</v>
      </c>
      <c r="W320" s="47" t="n">
        <v>21</v>
      </c>
      <c r="X320" s="47" t="n">
        <v>22</v>
      </c>
      <c r="Y320" s="47" t="n">
        <v>23</v>
      </c>
      <c r="Z320" s="47" t="n">
        <v>24</v>
      </c>
    </row>
    <row r="321">
      <c r="A321" s="3" t="inlineStr">
        <is>
          <t>Subscription renewal orders (paying subscribers)</t>
        </is>
      </c>
      <c r="B321" s="48">
        <f>SUM(C321:Z321)</f>
        <v>63.345135726058</v>
      </c>
      <c r="C321" s="46">
        <f>IF(AND(C$320&gt;1,MOD(C$320-1,$B$310)=0),$B$301*(1-$B$308)*(1-$B$309)^((C$320-1)/$B$310-1),0)</f>
        <v>0.0</v>
      </c>
      <c r="D321" s="46">
        <f>IF(AND(D$320&gt;1,MOD(D$320-1,$B$310)=0),$B$301*(1-$B$308)*(1-$B$309)^((D$320-1)/$B$310-1),0)</f>
        <v>0.0</v>
      </c>
      <c r="E321" s="46">
        <f>IF(AND(E$320&gt;1,MOD(E$320-1,$B$310)=0),$B$301*(1-$B$308)*(1-$B$309)^((E$320-1)/$B$310-1),0)</f>
        <v>0.0</v>
      </c>
      <c r="F321" s="46">
        <f>IF(AND(F$320&gt;1,MOD(F$320-1,$B$310)=0),$B$301*(1-$B$308)*(1-$B$309)^((F$320-1)/$B$310-1),0)</f>
        <v>14.687199855</v>
      </c>
      <c r="G321" s="46">
        <f>IF(AND(G$320&gt;1,MOD(G$320-1,$B$310)=0),$B$301*(1-$B$308)*(1-$B$309)^((G$320-1)/$B$310-1),0)</f>
        <v>0.0</v>
      </c>
      <c r="H321" s="46">
        <f>IF(AND(H$320&gt;1,MOD(H$320-1,$B$310)=0),$B$301*(1-$B$308)*(1-$B$309)^((H$320-1)/$B$310-1),0)</f>
        <v>0.0</v>
      </c>
      <c r="I321" s="46">
        <f>IF(AND(I$320&gt;1,MOD(I$320-1,$B$310)=0),$B$301*(1-$B$308)*(1-$B$309)^((I$320-1)/$B$310-1),0)</f>
        <v>12.223784242907014</v>
      </c>
      <c r="J321" s="46">
        <f>IF(AND(J$320&gt;1,MOD(J$320-1,$B$310)=0),$B$301*(1-$B$308)*(1-$B$309)^((J$320-1)/$B$310-1),0)</f>
        <v>0.0</v>
      </c>
      <c r="K321" s="46">
        <f>IF(AND(K$320&gt;1,MOD(K$320-1,$B$310)=0),$B$301*(1-$B$308)*(1-$B$309)^((K$320-1)/$B$310-1),0)</f>
        <v>0.0</v>
      </c>
      <c r="L321" s="46">
        <f>IF(AND(L$320&gt;1,MOD(L$320-1,$B$310)=0),$B$301*(1-$B$308)*(1-$B$309)^((L$320-1)/$B$310-1),0)</f>
        <v>10.173545855731927</v>
      </c>
      <c r="M321" s="46">
        <f>IF(AND(M$320&gt;1,MOD(M$320-1,$B$310)=0),$B$301*(1-$B$308)*(1-$B$309)^((M$320-1)/$B$310-1),0)</f>
        <v>0.0</v>
      </c>
      <c r="N321" s="46">
        <f>IF(AND(N$320&gt;1,MOD(N$320-1,$B$310)=0),$B$301*(1-$B$308)*(1-$B$309)^((N$320-1)/$B$310-1),0)</f>
        <v>0.0</v>
      </c>
      <c r="O321" s="46">
        <f>IF(AND(O$320&gt;1,MOD(O$320-1,$B$310)=0),$B$301*(1-$B$308)*(1-$B$309)^((O$320-1)/$B$310-1),0)</f>
        <v>8.467184402304705</v>
      </c>
      <c r="P321" s="46">
        <f>IF(AND(P$320&gt;1,MOD(P$320-1,$B$310)=0),$B$301*(1-$B$308)*(1-$B$309)^((P$320-1)/$B$310-1),0)</f>
        <v>0.0</v>
      </c>
      <c r="Q321" s="46">
        <f>IF(AND(Q$320&gt;1,MOD(Q$320-1,$B$310)=0),$B$301*(1-$B$308)*(1-$B$309)^((Q$320-1)/$B$310-1),0)</f>
        <v>0.0</v>
      </c>
      <c r="R321" s="46">
        <f>IF(AND(R$320&gt;1,MOD(R$320-1,$B$310)=0),$B$301*(1-$B$308)*(1-$B$309)^((R$320-1)/$B$310-1),0)</f>
        <v>7.047023006461314</v>
      </c>
      <c r="S321" s="46">
        <f>IF(AND(S$320&gt;1,MOD(S$320-1,$B$310)=0),$B$301*(1-$B$308)*(1-$B$309)^((S$320-1)/$B$310-1),0)</f>
        <v>0.0</v>
      </c>
      <c r="T321" s="46">
        <f>IF(AND(T$320&gt;1,MOD(T$320-1,$B$310)=0),$B$301*(1-$B$308)*(1-$B$309)^((T$320-1)/$B$310-1),0)</f>
        <v>0.0</v>
      </c>
      <c r="U321" s="46">
        <f>IF(AND(U$320&gt;1,MOD(U$320-1,$B$310)=0),$B$301*(1-$B$308)*(1-$B$309)^((U$320-1)/$B$310-1),0)</f>
        <v>5.865058665791883</v>
      </c>
      <c r="V321" s="46">
        <f>IF(AND(V$320&gt;1,MOD(V$320-1,$B$310)=0),$B$301*(1-$B$308)*(1-$B$309)^((V$320-1)/$B$310-1),0)</f>
        <v>0.0</v>
      </c>
      <c r="W321" s="46">
        <f>IF(AND(W$320&gt;1,MOD(W$320-1,$B$310)=0),$B$301*(1-$B$308)*(1-$B$309)^((W$320-1)/$B$310-1),0)</f>
        <v>0.0</v>
      </c>
      <c r="X321" s="46">
        <f>IF(AND(X$320&gt;1,MOD(X$320-1,$B$310)=0),$B$301*(1-$B$308)*(1-$B$309)^((X$320-1)/$B$310-1),0)</f>
        <v>4.8813396978611525</v>
      </c>
      <c r="Y321" s="46">
        <f>IF(AND(Y$320&gt;1,MOD(Y$320-1,$B$310)=0),$B$301*(1-$B$308)*(1-$B$309)^((Y$320-1)/$B$310-1),0)</f>
        <v>0.0</v>
      </c>
      <c r="Z321" s="46">
        <f>IF(AND(Z$320&gt;1,MOD(Z$320-1,$B$310)=0),$B$301*(1-$B$308)*(1-$B$309)^((Z$320-1)/$B$310-1),0)</f>
        <v>0.0</v>
      </c>
    </row>
    <row r="322">
      <c r="A322" s="3" t="inlineStr">
        <is>
          <t>Occasional repeat orders</t>
        </is>
      </c>
      <c r="B322" s="48">
        <f>SUM(C322:Z322)</f>
        <v>38.133759999999995</v>
      </c>
      <c r="C322" s="46">
        <f>IF(AND(C$320&gt;=$B$311,MOD(C$320-$B$311,$B$312)=0),$B$302*$B$313^((C$320-$B$311)/$B$312),0)</f>
        <v>0.0</v>
      </c>
      <c r="D322" s="46">
        <f>IF(AND(D$320&gt;=$B$311,MOD(D$320-$B$311,$B$312)=0),$B$302*$B$313^((D$320-$B$311)/$B$312),0)</f>
        <v>0.0</v>
      </c>
      <c r="E322" s="46">
        <f>IF(AND(E$320&gt;=$B$311,MOD(E$320-$B$311,$B$312)=0),$B$302*$B$313^((E$320-$B$311)/$B$312),0)</f>
        <v>0.0</v>
      </c>
      <c r="F322" s="46">
        <f>IF(AND(F$320&gt;=$B$311,MOD(F$320-$B$311,$B$312)=0),$B$302*$B$313^((F$320-$B$311)/$B$312),0)</f>
        <v>16.0</v>
      </c>
      <c r="G322" s="46">
        <f>IF(AND(G$320&gt;=$B$311,MOD(G$320-$B$311,$B$312)=0),$B$302*$B$313^((G$320-$B$311)/$B$312),0)</f>
        <v>0.0</v>
      </c>
      <c r="H322" s="46">
        <f>IF(AND(H$320&gt;=$B$311,MOD(H$320-$B$311,$B$312)=0),$B$302*$B$313^((H$320-$B$311)/$B$312),0)</f>
        <v>0.0</v>
      </c>
      <c r="I322" s="46">
        <f>IF(AND(I$320&gt;=$B$311,MOD(I$320-$B$311,$B$312)=0),$B$302*$B$313^((I$320-$B$311)/$B$312),0)</f>
        <v>0.0</v>
      </c>
      <c r="J322" s="46">
        <f>IF(AND(J$320&gt;=$B$311,MOD(J$320-$B$311,$B$312)=0),$B$302*$B$313^((J$320-$B$311)/$B$312),0)</f>
        <v>9.6</v>
      </c>
      <c r="K322" s="46">
        <f>IF(AND(K$320&gt;=$B$311,MOD(K$320-$B$311,$B$312)=0),$B$302*$B$313^((K$320-$B$311)/$B$312),0)</f>
        <v>0.0</v>
      </c>
      <c r="L322" s="46">
        <f>IF(AND(L$320&gt;=$B$311,MOD(L$320-$B$311,$B$312)=0),$B$302*$B$313^((L$320-$B$311)/$B$312),0)</f>
        <v>0.0</v>
      </c>
      <c r="M322" s="46">
        <f>IF(AND(M$320&gt;=$B$311,MOD(M$320-$B$311,$B$312)=0),$B$302*$B$313^((M$320-$B$311)/$B$312),0)</f>
        <v>0.0</v>
      </c>
      <c r="N322" s="46">
        <f>IF(AND(N$320&gt;=$B$311,MOD(N$320-$B$311,$B$312)=0),$B$302*$B$313^((N$320-$B$311)/$B$312),0)</f>
        <v>5.76</v>
      </c>
      <c r="O322" s="46">
        <f>IF(AND(O$320&gt;=$B$311,MOD(O$320-$B$311,$B$312)=0),$B$302*$B$313^((O$320-$B$311)/$B$312),0)</f>
        <v>0.0</v>
      </c>
      <c r="P322" s="46">
        <f>IF(AND(P$320&gt;=$B$311,MOD(P$320-$B$311,$B$312)=0),$B$302*$B$313^((P$320-$B$311)/$B$312),0)</f>
        <v>0.0</v>
      </c>
      <c r="Q322" s="46">
        <f>IF(AND(Q$320&gt;=$B$311,MOD(Q$320-$B$311,$B$312)=0),$B$302*$B$313^((Q$320-$B$311)/$B$312),0)</f>
        <v>0.0</v>
      </c>
      <c r="R322" s="46">
        <f>IF(AND(R$320&gt;=$B$311,MOD(R$320-$B$311,$B$312)=0),$B$302*$B$313^((R$320-$B$311)/$B$312),0)</f>
        <v>3.4559999999999995</v>
      </c>
      <c r="S322" s="46">
        <f>IF(AND(S$320&gt;=$B$311,MOD(S$320-$B$311,$B$312)=0),$B$302*$B$313^((S$320-$B$311)/$B$312),0)</f>
        <v>0.0</v>
      </c>
      <c r="T322" s="46">
        <f>IF(AND(T$320&gt;=$B$311,MOD(T$320-$B$311,$B$312)=0),$B$302*$B$313^((T$320-$B$311)/$B$312),0)</f>
        <v>0.0</v>
      </c>
      <c r="U322" s="46">
        <f>IF(AND(U$320&gt;=$B$311,MOD(U$320-$B$311,$B$312)=0),$B$302*$B$313^((U$320-$B$311)/$B$312),0)</f>
        <v>0.0</v>
      </c>
      <c r="V322" s="46">
        <f>IF(AND(V$320&gt;=$B$311,MOD(V$320-$B$311,$B$312)=0),$B$302*$B$313^((V$320-$B$311)/$B$312),0)</f>
        <v>2.0736</v>
      </c>
      <c r="W322" s="46">
        <f>IF(AND(W$320&gt;=$B$311,MOD(W$320-$B$311,$B$312)=0),$B$302*$B$313^((W$320-$B$311)/$B$312),0)</f>
        <v>0.0</v>
      </c>
      <c r="X322" s="46">
        <f>IF(AND(X$320&gt;=$B$311,MOD(X$320-$B$311,$B$312)=0),$B$302*$B$313^((X$320-$B$311)/$B$312),0)</f>
        <v>0.0</v>
      </c>
      <c r="Y322" s="46">
        <f>IF(AND(Y$320&gt;=$B$311,MOD(Y$320-$B$311,$B$312)=0),$B$302*$B$313^((Y$320-$B$311)/$B$312),0)</f>
        <v>0.0</v>
      </c>
      <c r="Z322" s="46">
        <f>IF(AND(Z$320&gt;=$B$311,MOD(Z$320-$B$311,$B$312)=0),$B$302*$B$313^((Z$320-$B$311)/$B$312),0)</f>
        <v>1.2441599999999997</v>
      </c>
    </row>
    <row r="323">
      <c r="A323" s="3" t="inlineStr">
        <is>
          <t>Contribution - one-time-only segment</t>
        </is>
      </c>
      <c r="B323" s="30">
        <f>SUM(C323:Z323)</f>
        <v>149.51816760000042</v>
      </c>
      <c r="C323" s="33">
        <f>IF(C$320=1,$B$303*$B$315,0)</f>
        <v>149.51816760000042</v>
      </c>
      <c r="D323" s="33">
        <f>IF(D$320=1,$B$303*$B$315,0)</f>
        <v>0.0</v>
      </c>
      <c r="E323" s="33">
        <f>IF(E$320=1,$B$303*$B$315,0)</f>
        <v>0.0</v>
      </c>
      <c r="F323" s="33">
        <f>IF(F$320=1,$B$303*$B$315,0)</f>
        <v>0.0</v>
      </c>
      <c r="G323" s="33">
        <f>IF(G$320=1,$B$303*$B$315,0)</f>
        <v>0.0</v>
      </c>
      <c r="H323" s="33">
        <f>IF(H$320=1,$B$303*$B$315,0)</f>
        <v>0.0</v>
      </c>
      <c r="I323" s="33">
        <f>IF(I$320=1,$B$303*$B$315,0)</f>
        <v>0.0</v>
      </c>
      <c r="J323" s="33">
        <f>IF(J$320=1,$B$303*$B$315,0)</f>
        <v>0.0</v>
      </c>
      <c r="K323" s="33">
        <f>IF(K$320=1,$B$303*$B$315,0)</f>
        <v>0.0</v>
      </c>
      <c r="L323" s="33">
        <f>IF(L$320=1,$B$303*$B$315,0)</f>
        <v>0.0</v>
      </c>
      <c r="M323" s="33">
        <f>IF(M$320=1,$B$303*$B$315,0)</f>
        <v>0.0</v>
      </c>
      <c r="N323" s="33">
        <f>IF(N$320=1,$B$303*$B$315,0)</f>
        <v>0.0</v>
      </c>
      <c r="O323" s="33">
        <f>IF(O$320=1,$B$303*$B$315,0)</f>
        <v>0.0</v>
      </c>
      <c r="P323" s="33">
        <f>IF(P$320=1,$B$303*$B$315,0)</f>
        <v>0.0</v>
      </c>
      <c r="Q323" s="33">
        <f>IF(Q$320=1,$B$303*$B$315,0)</f>
        <v>0.0</v>
      </c>
      <c r="R323" s="33">
        <f>IF(R$320=1,$B$303*$B$315,0)</f>
        <v>0.0</v>
      </c>
      <c r="S323" s="33">
        <f>IF(S$320=1,$B$303*$B$315,0)</f>
        <v>0.0</v>
      </c>
      <c r="T323" s="33">
        <f>IF(T$320=1,$B$303*$B$315,0)</f>
        <v>0.0</v>
      </c>
      <c r="U323" s="33">
        <f>IF(U$320=1,$B$303*$B$315,0)</f>
        <v>0.0</v>
      </c>
      <c r="V323" s="33">
        <f>IF(V$320=1,$B$303*$B$315,0)</f>
        <v>0.0</v>
      </c>
      <c r="W323" s="33">
        <f>IF(W$320=1,$B$303*$B$315,0)</f>
        <v>0.0</v>
      </c>
      <c r="X323" s="33">
        <f>IF(X$320=1,$B$303*$B$315,0)</f>
        <v>0.0</v>
      </c>
      <c r="Y323" s="33">
        <f>IF(Y$320=1,$B$303*$B$315,0)</f>
        <v>0.0</v>
      </c>
      <c r="Z323" s="33">
        <f>IF(Z$320=1,$B$303*$B$315,0)</f>
        <v>0.0</v>
      </c>
    </row>
    <row r="324">
      <c r="A324" s="3" t="inlineStr">
        <is>
          <t>Contribution - occasional repeat segment</t>
        </is>
      </c>
      <c r="B324" s="30">
        <f>SUM(C324:Z324)</f>
        <v>-54.06731193679987</v>
      </c>
      <c r="C324" s="33">
        <f>IF(C$320=1,$B$302*$B$315,0)+C322*$B$307</f>
        <v>37.379541900000106</v>
      </c>
      <c r="D324" s="33">
        <f>IF(D$320=1,$B$302*$B$315,0)+D322*$B$307</f>
        <v>0.0</v>
      </c>
      <c r="E324" s="33">
        <f>IF(E$320=1,$B$302*$B$315,0)+E322*$B$307</f>
        <v>0.0</v>
      </c>
      <c r="F324" s="33">
        <f>IF(F$320=1,$B$302*$B$315,0)+F322*$B$307</f>
        <v>-38.36887999999999</v>
      </c>
      <c r="G324" s="33">
        <f>IF(G$320=1,$B$302*$B$315,0)+G322*$B$307</f>
        <v>0.0</v>
      </c>
      <c r="H324" s="33">
        <f>IF(H$320=1,$B$302*$B$315,0)+H322*$B$307</f>
        <v>0.0</v>
      </c>
      <c r="I324" s="33">
        <f>IF(I$320=1,$B$302*$B$315,0)+I322*$B$307</f>
        <v>0.0</v>
      </c>
      <c r="J324" s="33">
        <f>IF(J$320=1,$B$302*$B$315,0)+J322*$B$307</f>
        <v>-23.021327999999993</v>
      </c>
      <c r="K324" s="33">
        <f>IF(K$320=1,$B$302*$B$315,0)+K322*$B$307</f>
        <v>0.0</v>
      </c>
      <c r="L324" s="33">
        <f>IF(L$320=1,$B$302*$B$315,0)+L322*$B$307</f>
        <v>0.0</v>
      </c>
      <c r="M324" s="33">
        <f>IF(M$320=1,$B$302*$B$315,0)+M322*$B$307</f>
        <v>0.0</v>
      </c>
      <c r="N324" s="33">
        <f>IF(N$320=1,$B$302*$B$315,0)+N322*$B$307</f>
        <v>-13.812796799999996</v>
      </c>
      <c r="O324" s="33">
        <f>IF(O$320=1,$B$302*$B$315,0)+O322*$B$307</f>
        <v>0.0</v>
      </c>
      <c r="P324" s="33">
        <f>IF(P$320=1,$B$302*$B$315,0)+P322*$B$307</f>
        <v>0.0</v>
      </c>
      <c r="Q324" s="33">
        <f>IF(Q$320=1,$B$302*$B$315,0)+Q322*$B$307</f>
        <v>0.0</v>
      </c>
      <c r="R324" s="33">
        <f>IF(R$320=1,$B$302*$B$315,0)+R322*$B$307</f>
        <v>-8.287678079999997</v>
      </c>
      <c r="S324" s="33">
        <f>IF(S$320=1,$B$302*$B$315,0)+S322*$B$307</f>
        <v>0.0</v>
      </c>
      <c r="T324" s="33">
        <f>IF(T$320=1,$B$302*$B$315,0)+T322*$B$307</f>
        <v>0.0</v>
      </c>
      <c r="U324" s="33">
        <f>IF(U$320=1,$B$302*$B$315,0)+U322*$B$307</f>
        <v>0.0</v>
      </c>
      <c r="V324" s="33">
        <f>IF(V$320=1,$B$302*$B$315,0)+V322*$B$307</f>
        <v>-4.972606847999998</v>
      </c>
      <c r="W324" s="33">
        <f>IF(W$320=1,$B$302*$B$315,0)+W322*$B$307</f>
        <v>0.0</v>
      </c>
      <c r="X324" s="33">
        <f>IF(X$320=1,$B$302*$B$315,0)+X322*$B$307</f>
        <v>0.0</v>
      </c>
      <c r="Y324" s="33">
        <f>IF(Y$320=1,$B$302*$B$315,0)+Y322*$B$307</f>
        <v>0.0</v>
      </c>
      <c r="Z324" s="33">
        <f>IF(Z$320=1,$B$302*$B$315,0)+Z322*$B$307</f>
        <v>-2.9835641087999987</v>
      </c>
    </row>
    <row r="325">
      <c r="A325" s="3" t="inlineStr">
        <is>
          <t>Contribution - subscriber segment</t>
        </is>
      </c>
      <c r="B325" s="30">
        <f>SUM(C325:Z325)</f>
        <v>-208.28389548198442</v>
      </c>
      <c r="C325" s="33">
        <f>IF(C$320=1,$B$301*$B$314,0)+C321*$B$306</f>
        <v>46.72442737500013</v>
      </c>
      <c r="D325" s="33">
        <f>IF(D$320=1,$B$301*$B$314,0)+D321*$B$306</f>
        <v>0.0</v>
      </c>
      <c r="E325" s="33">
        <f>IF(E$320=1,$B$301*$B$314,0)+E321*$B$306</f>
        <v>0.0</v>
      </c>
      <c r="F325" s="33">
        <f>IF(F$320=1,$B$301*$B$314,0)+F321*$B$306</f>
        <v>-59.126216394673946</v>
      </c>
      <c r="G325" s="33">
        <f>IF(G$320=1,$B$301*$B$314,0)+G321*$B$306</f>
        <v>0.0</v>
      </c>
      <c r="H325" s="33">
        <f>IF(H$320=1,$B$301*$B$314,0)+H321*$B$306</f>
        <v>0.0</v>
      </c>
      <c r="I325" s="33">
        <f>IF(I$320=1,$B$301*$B$314,0)+I321*$B$306</f>
        <v>-49.20925155531805</v>
      </c>
      <c r="J325" s="33">
        <f>IF(J$320=1,$B$301*$B$314,0)+J321*$B$306</f>
        <v>0.0</v>
      </c>
      <c r="K325" s="33">
        <f>IF(K$320=1,$B$301*$B$314,0)+K321*$B$306</f>
        <v>0.0</v>
      </c>
      <c r="L325" s="33">
        <f>IF(L$320=1,$B$301*$B$314,0)+L321*$B$306</f>
        <v>-40.95561303078246</v>
      </c>
      <c r="M325" s="33">
        <f>IF(M$320=1,$B$301*$B$314,0)+M321*$B$306</f>
        <v>0.0</v>
      </c>
      <c r="N325" s="33">
        <f>IF(N$320=1,$B$301*$B$314,0)+N321*$B$306</f>
        <v>0.0</v>
      </c>
      <c r="O325" s="33">
        <f>IF(O$320=1,$B$301*$B$314,0)+O321*$B$306</f>
        <v>-34.08631884680485</v>
      </c>
      <c r="P325" s="33">
        <f>IF(P$320=1,$B$301*$B$314,0)+P321*$B$306</f>
        <v>0.0</v>
      </c>
      <c r="Q325" s="33">
        <f>IF(Q$320=1,$B$301*$B$314,0)+Q321*$B$306</f>
        <v>0.0</v>
      </c>
      <c r="R325" s="33">
        <f>IF(R$320=1,$B$301*$B$314,0)+R321*$B$306</f>
        <v>-28.3691793760423</v>
      </c>
      <c r="S325" s="33">
        <f>IF(S$320=1,$B$301*$B$314,0)+S321*$B$306</f>
        <v>0.0</v>
      </c>
      <c r="T325" s="33">
        <f>IF(T$320=1,$B$301*$B$314,0)+T321*$B$306</f>
        <v>0.0</v>
      </c>
      <c r="U325" s="33">
        <f>IF(U$320=1,$B$301*$B$314,0)+U321*$B$306</f>
        <v>-23.610949075702393</v>
      </c>
      <c r="V325" s="33">
        <f>IF(V$320=1,$B$301*$B$314,0)+V321*$B$306</f>
        <v>0.0</v>
      </c>
      <c r="W325" s="33">
        <f>IF(W$320=1,$B$301*$B$314,0)+W321*$B$306</f>
        <v>0.0</v>
      </c>
      <c r="X325" s="33">
        <f>IF(X$320=1,$B$301*$B$314,0)+X321*$B$306</f>
        <v>-19.65079457766055</v>
      </c>
      <c r="Y325" s="33">
        <f>IF(Y$320=1,$B$301*$B$314,0)+Y321*$B$306</f>
        <v>0.0</v>
      </c>
      <c r="Z325" s="33">
        <f>IF(Z$320=1,$B$301*$B$314,0)+Z321*$B$306</f>
        <v>0.0</v>
      </c>
    </row>
    <row r="326">
      <c r="A326" s="16" t="inlineStr">
        <is>
          <t>Total contribution before CAC</t>
        </is>
      </c>
      <c r="B326" s="30">
        <f>SUM(C326:Z326)</f>
        <v>-112.83303981878387</v>
      </c>
      <c r="C326" s="30">
        <f>SUM(C323:C325)</f>
        <v>233.62213687500065</v>
      </c>
      <c r="D326" s="30">
        <f>SUM(D323:D325)</f>
        <v>0.0</v>
      </c>
      <c r="E326" s="30">
        <f>SUM(E323:E325)</f>
        <v>0.0</v>
      </c>
      <c r="F326" s="30">
        <f>SUM(F323:F325)</f>
        <v>-97.49509639467394</v>
      </c>
      <c r="G326" s="30">
        <f>SUM(G323:G325)</f>
        <v>0.0</v>
      </c>
      <c r="H326" s="30">
        <f>SUM(H323:H325)</f>
        <v>0.0</v>
      </c>
      <c r="I326" s="30">
        <f>SUM(I323:I325)</f>
        <v>-49.20925155531805</v>
      </c>
      <c r="J326" s="30">
        <f>SUM(J323:J325)</f>
        <v>-23.021327999999993</v>
      </c>
      <c r="K326" s="30">
        <f>SUM(K323:K325)</f>
        <v>0.0</v>
      </c>
      <c r="L326" s="30">
        <f>SUM(L323:L325)</f>
        <v>-40.95561303078246</v>
      </c>
      <c r="M326" s="30">
        <f>SUM(M323:M325)</f>
        <v>0.0</v>
      </c>
      <c r="N326" s="30">
        <f>SUM(N323:N325)</f>
        <v>-13.812796799999996</v>
      </c>
      <c r="O326" s="30">
        <f>SUM(O323:O325)</f>
        <v>-34.08631884680485</v>
      </c>
      <c r="P326" s="30">
        <f>SUM(P323:P325)</f>
        <v>0.0</v>
      </c>
      <c r="Q326" s="30">
        <f>SUM(Q323:Q325)</f>
        <v>0.0</v>
      </c>
      <c r="R326" s="30">
        <f>SUM(R323:R325)</f>
        <v>-36.656857456042296</v>
      </c>
      <c r="S326" s="30">
        <f>SUM(S323:S325)</f>
        <v>0.0</v>
      </c>
      <c r="T326" s="30">
        <f>SUM(T323:T325)</f>
        <v>0.0</v>
      </c>
      <c r="U326" s="30">
        <f>SUM(U323:U325)</f>
        <v>-23.610949075702393</v>
      </c>
      <c r="V326" s="30">
        <f>SUM(V323:V325)</f>
        <v>-4.972606847999998</v>
      </c>
      <c r="W326" s="30">
        <f>SUM(W323:W325)</f>
        <v>0.0</v>
      </c>
      <c r="X326" s="30">
        <f>SUM(X323:X325)</f>
        <v>-19.65079457766055</v>
      </c>
      <c r="Y326" s="30">
        <f>SUM(Y323:Y325)</f>
        <v>0.0</v>
      </c>
      <c r="Z326" s="30">
        <f>SUM(Z323:Z325)</f>
        <v>-2.9835641087999987</v>
      </c>
    </row>
    <row r="327">
      <c r="A327" s="3" t="inlineStr">
        <is>
          <t>CAC (paid, month 1)</t>
        </is>
      </c>
      <c r="B327" s="30">
        <f>SUM(C327:Z327)</f>
        <v>-4500.0</v>
      </c>
      <c r="C327" s="33">
        <f>IF(C$320=1,-$B$298*$B$305,0)</f>
        <v>-4500.0</v>
      </c>
      <c r="D327" s="33">
        <f>IF(D$320=1,-$B$298*$B$305,0)</f>
        <v>0.0</v>
      </c>
      <c r="E327" s="33">
        <f>IF(E$320=1,-$B$298*$B$305,0)</f>
        <v>0.0</v>
      </c>
      <c r="F327" s="33">
        <f>IF(F$320=1,-$B$298*$B$305,0)</f>
        <v>0.0</v>
      </c>
      <c r="G327" s="33">
        <f>IF(G$320=1,-$B$298*$B$305,0)</f>
        <v>0.0</v>
      </c>
      <c r="H327" s="33">
        <f>IF(H$320=1,-$B$298*$B$305,0)</f>
        <v>0.0</v>
      </c>
      <c r="I327" s="33">
        <f>IF(I$320=1,-$B$298*$B$305,0)</f>
        <v>0.0</v>
      </c>
      <c r="J327" s="33">
        <f>IF(J$320=1,-$B$298*$B$305,0)</f>
        <v>0.0</v>
      </c>
      <c r="K327" s="33">
        <f>IF(K$320=1,-$B$298*$B$305,0)</f>
        <v>0.0</v>
      </c>
      <c r="L327" s="33">
        <f>IF(L$320=1,-$B$298*$B$305,0)</f>
        <v>0.0</v>
      </c>
      <c r="M327" s="33">
        <f>IF(M$320=1,-$B$298*$B$305,0)</f>
        <v>0.0</v>
      </c>
      <c r="N327" s="33">
        <f>IF(N$320=1,-$B$298*$B$305,0)</f>
        <v>0.0</v>
      </c>
      <c r="O327" s="33">
        <f>IF(O$320=1,-$B$298*$B$305,0)</f>
        <v>0.0</v>
      </c>
      <c r="P327" s="33">
        <f>IF(P$320=1,-$B$298*$B$305,0)</f>
        <v>0.0</v>
      </c>
      <c r="Q327" s="33">
        <f>IF(Q$320=1,-$B$298*$B$305,0)</f>
        <v>0.0</v>
      </c>
      <c r="R327" s="33">
        <f>IF(R$320=1,-$B$298*$B$305,0)</f>
        <v>0.0</v>
      </c>
      <c r="S327" s="33">
        <f>IF(S$320=1,-$B$298*$B$305,0)</f>
        <v>0.0</v>
      </c>
      <c r="T327" s="33">
        <f>IF(T$320=1,-$B$298*$B$305,0)</f>
        <v>0.0</v>
      </c>
      <c r="U327" s="33">
        <f>IF(U$320=1,-$B$298*$B$305,0)</f>
        <v>0.0</v>
      </c>
      <c r="V327" s="33">
        <f>IF(V$320=1,-$B$298*$B$305,0)</f>
        <v>0.0</v>
      </c>
      <c r="W327" s="33">
        <f>IF(W$320=1,-$B$298*$B$305,0)</f>
        <v>0.0</v>
      </c>
      <c r="X327" s="33">
        <f>IF(X$320=1,-$B$298*$B$305,0)</f>
        <v>0.0</v>
      </c>
      <c r="Y327" s="33">
        <f>IF(Y$320=1,-$B$298*$B$305,0)</f>
        <v>0.0</v>
      </c>
      <c r="Z327" s="33">
        <f>IF(Z$320=1,-$B$298*$B$305,0)</f>
        <v>0.0</v>
      </c>
    </row>
    <row r="328">
      <c r="A328" s="3" t="inlineStr">
        <is>
          <t>Net contribution after CAC</t>
        </is>
      </c>
      <c r="B328" s="30">
        <f>SUM(C328:Z328)</f>
        <v>-4612.8330398187845</v>
      </c>
      <c r="C328" s="33">
        <f>C326+C327</f>
        <v>-4266.377863125</v>
      </c>
      <c r="D328" s="33">
        <f>D326+D327</f>
        <v>0.0</v>
      </c>
      <c r="E328" s="33">
        <f>E326+E327</f>
        <v>0.0</v>
      </c>
      <c r="F328" s="33">
        <f>F326+F327</f>
        <v>-97.49509639467394</v>
      </c>
      <c r="G328" s="33">
        <f>G326+G327</f>
        <v>0.0</v>
      </c>
      <c r="H328" s="33">
        <f>H326+H327</f>
        <v>0.0</v>
      </c>
      <c r="I328" s="33">
        <f>I326+I327</f>
        <v>-49.20925155531805</v>
      </c>
      <c r="J328" s="33">
        <f>J326+J327</f>
        <v>-23.021327999999993</v>
      </c>
      <c r="K328" s="33">
        <f>K326+K327</f>
        <v>0.0</v>
      </c>
      <c r="L328" s="33">
        <f>L326+L327</f>
        <v>-40.95561303078246</v>
      </c>
      <c r="M328" s="33">
        <f>M326+M327</f>
        <v>0.0</v>
      </c>
      <c r="N328" s="33">
        <f>N326+N327</f>
        <v>-13.812796799999996</v>
      </c>
      <c r="O328" s="33">
        <f>O326+O327</f>
        <v>-34.08631884680485</v>
      </c>
      <c r="P328" s="33">
        <f>P326+P327</f>
        <v>0.0</v>
      </c>
      <c r="Q328" s="33">
        <f>Q326+Q327</f>
        <v>0.0</v>
      </c>
      <c r="R328" s="33">
        <f>R326+R327</f>
        <v>-36.656857456042296</v>
      </c>
      <c r="S328" s="33">
        <f>S326+S327</f>
        <v>0.0</v>
      </c>
      <c r="T328" s="33">
        <f>T326+T327</f>
        <v>0.0</v>
      </c>
      <c r="U328" s="33">
        <f>U326+U327</f>
        <v>-23.610949075702393</v>
      </c>
      <c r="V328" s="33">
        <f>V326+V327</f>
        <v>-4.972606847999998</v>
      </c>
      <c r="W328" s="33">
        <f>W326+W327</f>
        <v>0.0</v>
      </c>
      <c r="X328" s="33">
        <f>X326+X327</f>
        <v>-19.65079457766055</v>
      </c>
      <c r="Y328" s="33">
        <f>Y326+Y327</f>
        <v>0.0</v>
      </c>
      <c r="Z328" s="33">
        <f>Z326+Z327</f>
        <v>-2.9835641087999987</v>
      </c>
    </row>
    <row r="329">
      <c r="A329" s="16" t="inlineStr">
        <is>
          <t>CUMULATIVE contribution after CAC</t>
        </is>
      </c>
      <c r="C329" s="49">
        <f>C328</f>
        <v>-4266.377863125</v>
      </c>
      <c r="D329" s="49">
        <f>C329+D328</f>
        <v>-4266.377863125</v>
      </c>
      <c r="E329" s="49">
        <f>D329+E328</f>
        <v>-4266.377863125</v>
      </c>
      <c r="F329" s="49">
        <f>E329+F328</f>
        <v>-4363.872959519674</v>
      </c>
      <c r="G329" s="49">
        <f>F329+G328</f>
        <v>-4363.872959519674</v>
      </c>
      <c r="H329" s="49">
        <f>G329+H328</f>
        <v>-4363.872959519674</v>
      </c>
      <c r="I329" s="49">
        <f>H329+I328</f>
        <v>-4413.082211074991</v>
      </c>
      <c r="J329" s="49">
        <f>I329+J328</f>
        <v>-4436.103539074991</v>
      </c>
      <c r="K329" s="49">
        <f>J329+K328</f>
        <v>-4436.103539074991</v>
      </c>
      <c r="L329" s="49">
        <f>K329+L328</f>
        <v>-4477.059152105774</v>
      </c>
      <c r="M329" s="49">
        <f>L329+M328</f>
        <v>-4477.059152105774</v>
      </c>
      <c r="N329" s="49">
        <f>M329+N328</f>
        <v>-4490.871948905774</v>
      </c>
      <c r="O329" s="49">
        <f>N329+O328</f>
        <v>-4524.958267752579</v>
      </c>
      <c r="P329" s="49">
        <f>O329+P328</f>
        <v>-4524.958267752579</v>
      </c>
      <c r="Q329" s="49">
        <f>P329+Q328</f>
        <v>-4524.958267752579</v>
      </c>
      <c r="R329" s="49">
        <f>Q329+R328</f>
        <v>-4561.615125208621</v>
      </c>
      <c r="S329" s="49">
        <f>R329+S328</f>
        <v>-4561.615125208621</v>
      </c>
      <c r="T329" s="49">
        <f>S329+T328</f>
        <v>-4561.615125208621</v>
      </c>
      <c r="U329" s="49">
        <f>T329+U328</f>
        <v>-4585.226074284324</v>
      </c>
      <c r="V329" s="49">
        <f>U329+V328</f>
        <v>-4590.198681132324</v>
      </c>
      <c r="W329" s="49">
        <f>V329+W328</f>
        <v>-4590.198681132324</v>
      </c>
      <c r="X329" s="49">
        <f>W329+X328</f>
        <v>-4609.849475709984</v>
      </c>
      <c r="Y329" s="49">
        <f>X329+Y328</f>
        <v>-4609.849475709984</v>
      </c>
      <c r="Z329" s="49">
        <f>Y329+Z328</f>
        <v>-4612.8330398187845</v>
      </c>
    </row>
    <row r="330">
      <c r="A330" s="3" t="inlineStr">
        <is>
          <t>Cumulative contribution before CAC, per customer</t>
        </is>
      </c>
      <c r="C330" s="26">
        <f>SUM($C326:C326)/$B$298</f>
        <v>2.3362213687500066</v>
      </c>
      <c r="D330" s="26">
        <f>SUM($C326:D326)/$B$298</f>
        <v>2.3362213687500066</v>
      </c>
      <c r="E330" s="26">
        <f>SUM($C326:E326)/$B$298</f>
        <v>2.3362213687500066</v>
      </c>
      <c r="F330" s="26">
        <f>SUM($C326:F326)/$B$298</f>
        <v>1.361270404803267</v>
      </c>
      <c r="G330" s="26">
        <f>SUM($C326:G326)/$B$298</f>
        <v>1.361270404803267</v>
      </c>
      <c r="H330" s="26">
        <f>SUM($C326:H326)/$B$298</f>
        <v>1.361270404803267</v>
      </c>
      <c r="I330" s="26">
        <f>SUM($C326:I326)/$B$298</f>
        <v>0.8691778892500867</v>
      </c>
      <c r="J330" s="26">
        <f>SUM($C326:J326)/$B$298</f>
        <v>0.6389646092500867</v>
      </c>
      <c r="K330" s="26">
        <f>SUM($C326:K326)/$B$298</f>
        <v>0.6389646092500867</v>
      </c>
      <c r="L330" s="26">
        <f>SUM($C326:L326)/$B$298</f>
        <v>0.22940847894226213</v>
      </c>
      <c r="M330" s="26">
        <f>SUM($C326:M326)/$B$298</f>
        <v>0.22940847894226213</v>
      </c>
      <c r="N330" s="26">
        <f>SUM($C326:N326)/$B$298</f>
        <v>0.09128051094226217</v>
      </c>
      <c r="O330" s="26">
        <f>SUM($C326:O326)/$B$298</f>
        <v>-0.24958267752578636</v>
      </c>
      <c r="P330" s="26">
        <f>SUM($C326:P326)/$B$298</f>
        <v>-0.24958267752578636</v>
      </c>
      <c r="Q330" s="26">
        <f>SUM($C326:Q326)/$B$298</f>
        <v>-0.24958267752578636</v>
      </c>
      <c r="R330" s="26">
        <f>SUM($C326:R326)/$B$298</f>
        <v>-0.6161512520862094</v>
      </c>
      <c r="S330" s="26">
        <f>SUM($C326:S326)/$B$298</f>
        <v>-0.6161512520862094</v>
      </c>
      <c r="T330" s="26">
        <f>SUM($C326:T326)/$B$298</f>
        <v>-0.6161512520862094</v>
      </c>
      <c r="U330" s="26">
        <f>SUM($C326:U326)/$B$298</f>
        <v>-0.8522607428432332</v>
      </c>
      <c r="V330" s="26">
        <f>SUM($C326:V326)/$B$298</f>
        <v>-0.9019868113232331</v>
      </c>
      <c r="W330" s="26">
        <f>SUM($C326:W326)/$B$298</f>
        <v>-0.9019868113232331</v>
      </c>
      <c r="X330" s="26">
        <f>SUM($C326:X326)/$B$298</f>
        <v>-1.0984947570998387</v>
      </c>
      <c r="Y330" s="26">
        <f>SUM($C326:Y326)/$B$298</f>
        <v>-1.0984947570998387</v>
      </c>
      <c r="Z330" s="26">
        <f>SUM($C326:Z326)/$B$298</f>
        <v>-1.1283303981878388</v>
      </c>
    </row>
    <row r="331">
      <c r="A331" s="3" t="inlineStr">
        <is>
          <t>Gross revenue (reference only - NOT used for LTV)</t>
        </is>
      </c>
      <c r="B331" s="30">
        <f>SUM(C331:Z331)</f>
        <v>7115.253052787152</v>
      </c>
      <c r="C331" s="50">
        <f>IF(C$320=1,$B$298*$B$316,0)+C321*$B$317+C322*$B$318</f>
        <v>5498.75</v>
      </c>
      <c r="D331" s="50">
        <f>IF(D$320=1,$B$298*$B$316,0)+D321*$B$317+D322*$B$318</f>
        <v>0.0</v>
      </c>
      <c r="E331" s="50">
        <f>IF(E$320=1,$B$298*$B$316,0)+E321*$B$317+E322*$B$318</f>
        <v>0.0</v>
      </c>
      <c r="F331" s="50">
        <f>IF(F$320=1,$B$298*$B$316,0)+F321*$B$317+F322*$B$318</f>
        <v>496.42197298280496</v>
      </c>
      <c r="G331" s="50">
        <f>IF(G$320=1,$B$298*$B$316,0)+G321*$B$317+G322*$B$318</f>
        <v>0.0</v>
      </c>
      <c r="H331" s="50">
        <f>IF(H$320=1,$B$298*$B$316,0)+H321*$B$317+H322*$B$318</f>
        <v>0.0</v>
      </c>
      <c r="I331" s="50">
        <f>IF(I$320=1,$B$298*$B$316,0)+I321*$B$317+I322*$B$318</f>
        <v>186.91388485829114</v>
      </c>
      <c r="J331" s="50">
        <f>IF(J$320=1,$B$298*$B$316,0)+J321*$B$317+J322*$B$318</f>
        <v>163.10399999999998</v>
      </c>
      <c r="K331" s="50">
        <f>IF(K$320=1,$B$298*$B$316,0)+K321*$B$317+K322*$B$318</f>
        <v>0.0</v>
      </c>
      <c r="L331" s="50">
        <f>IF(L$320=1,$B$298*$B$316,0)+L321*$B$317+L322*$B$318</f>
        <v>155.56368967999688</v>
      </c>
      <c r="M331" s="50">
        <f>IF(M$320=1,$B$298*$B$316,0)+M321*$B$317+M322*$B$318</f>
        <v>0.0</v>
      </c>
      <c r="N331" s="50">
        <f>IF(N$320=1,$B$298*$B$316,0)+N321*$B$317+N322*$B$318</f>
        <v>97.8624</v>
      </c>
      <c r="O331" s="50">
        <f>IF(O$320=1,$B$298*$B$316,0)+O321*$B$317+O322*$B$318</f>
        <v>129.47171669564122</v>
      </c>
      <c r="P331" s="50">
        <f>IF(P$320=1,$B$298*$B$316,0)+P321*$B$317+P322*$B$318</f>
        <v>0.0</v>
      </c>
      <c r="Q331" s="50">
        <f>IF(Q$320=1,$B$298*$B$316,0)+Q321*$B$317+Q322*$B$318</f>
        <v>0.0</v>
      </c>
      <c r="R331" s="50">
        <f>IF(R$320=1,$B$298*$B$316,0)+R321*$B$317+R322*$B$318</f>
        <v>166.47346879179995</v>
      </c>
      <c r="S331" s="50">
        <f>IF(S$320=1,$B$298*$B$316,0)+S321*$B$317+S322*$B$318</f>
        <v>0.0</v>
      </c>
      <c r="T331" s="50">
        <f>IF(T$320=1,$B$298*$B$316,0)+T321*$B$317+T322*$B$318</f>
        <v>0.0</v>
      </c>
      <c r="U331" s="50">
        <f>IF(U$320=1,$B$298*$B$316,0)+U321*$B$317+U322*$B$318</f>
        <v>89.68261205862368</v>
      </c>
      <c r="V331" s="50">
        <f>IF(V$320=1,$B$298*$B$316,0)+V321*$B$317+V322*$B$318</f>
        <v>35.230464</v>
      </c>
      <c r="W331" s="50">
        <f>IF(W$320=1,$B$298*$B$316,0)+W321*$B$317+W322*$B$318</f>
        <v>0.0</v>
      </c>
      <c r="X331" s="50">
        <f>IF(X$320=1,$B$298*$B$316,0)+X321*$B$317+X322*$B$318</f>
        <v>74.64056531999488</v>
      </c>
      <c r="Y331" s="50">
        <f>IF(Y$320=1,$B$298*$B$316,0)+Y321*$B$317+Y322*$B$318</f>
        <v>0.0</v>
      </c>
      <c r="Z331" s="50">
        <f>IF(Z$320=1,$B$298*$B$316,0)+Z321*$B$317+Z322*$B$318</f>
        <v>21.138278399999994</v>
      </c>
    </row>
    <row r="332">
      <c r="A332" s="3" t="inlineStr">
        <is>
          <t>Payback helper (month if cumulative &gt;= 0, else 99)</t>
        </is>
      </c>
      <c r="C332" s="51">
        <f>IF(C329&gt;=0,C$320,99)</f>
        <v>99.0</v>
      </c>
      <c r="D332" s="51">
        <f>IF(D329&gt;=0,D$320,99)</f>
        <v>99.0</v>
      </c>
      <c r="E332" s="51">
        <f>IF(E329&gt;=0,E$320,99)</f>
        <v>99.0</v>
      </c>
      <c r="F332" s="51">
        <f>IF(F329&gt;=0,F$320,99)</f>
        <v>99.0</v>
      </c>
      <c r="G332" s="51">
        <f>IF(G329&gt;=0,G$320,99)</f>
        <v>99.0</v>
      </c>
      <c r="H332" s="51">
        <f>IF(H329&gt;=0,H$320,99)</f>
        <v>99.0</v>
      </c>
      <c r="I332" s="51">
        <f>IF(I329&gt;=0,I$320,99)</f>
        <v>99.0</v>
      </c>
      <c r="J332" s="51">
        <f>IF(J329&gt;=0,J$320,99)</f>
        <v>99.0</v>
      </c>
      <c r="K332" s="51">
        <f>IF(K329&gt;=0,K$320,99)</f>
        <v>99.0</v>
      </c>
      <c r="L332" s="51">
        <f>IF(L329&gt;=0,L$320,99)</f>
        <v>99.0</v>
      </c>
      <c r="M332" s="51">
        <f>IF(M329&gt;=0,M$320,99)</f>
        <v>99.0</v>
      </c>
      <c r="N332" s="51">
        <f>IF(N329&gt;=0,N$320,99)</f>
        <v>99.0</v>
      </c>
      <c r="O332" s="51">
        <f>IF(O329&gt;=0,O$320,99)</f>
        <v>99.0</v>
      </c>
      <c r="P332" s="51">
        <f>IF(P329&gt;=0,P$320,99)</f>
        <v>99.0</v>
      </c>
      <c r="Q332" s="51">
        <f>IF(Q329&gt;=0,Q$320,99)</f>
        <v>99.0</v>
      </c>
      <c r="R332" s="51">
        <f>IF(R329&gt;=0,R$320,99)</f>
        <v>99.0</v>
      </c>
      <c r="S332" s="51">
        <f>IF(S329&gt;=0,S$320,99)</f>
        <v>99.0</v>
      </c>
      <c r="T332" s="51">
        <f>IF(T329&gt;=0,T$320,99)</f>
        <v>99.0</v>
      </c>
      <c r="U332" s="51">
        <f>IF(U329&gt;=0,U$320,99)</f>
        <v>99.0</v>
      </c>
      <c r="V332" s="51">
        <f>IF(V329&gt;=0,V$320,99)</f>
        <v>99.0</v>
      </c>
      <c r="W332" s="51">
        <f>IF(W329&gt;=0,W$320,99)</f>
        <v>99.0</v>
      </c>
      <c r="X332" s="51">
        <f>IF(X329&gt;=0,X$320,99)</f>
        <v>99.0</v>
      </c>
      <c r="Y332" s="51">
        <f>IF(Y329&gt;=0,Y$320,99)</f>
        <v>99.0</v>
      </c>
      <c r="Z332" s="51">
        <f>IF(Z329&gt;=0,Z$320,99)</f>
        <v>99.0</v>
      </c>
    </row>
    <row r="334">
      <c r="A334" s="16" t="inlineStr">
        <is>
          <t>FIRST-ORDER contribution before ads, per customer</t>
        </is>
      </c>
      <c r="B334" s="42">
        <f>$B$304</f>
        <v>2.3362213687500066</v>
      </c>
    </row>
    <row r="335">
      <c r="A335" s="16" t="inlineStr">
        <is>
          <t>FIRST-ORDER contribution after CAC, per customer</t>
        </is>
      </c>
      <c r="B335" s="42">
        <f>$B$304-$B$305</f>
        <v>-42.66377863125</v>
      </c>
    </row>
    <row r="336">
      <c r="A336" s="16" t="inlineStr">
        <is>
          <t>Is the first order profitable after CAC?</t>
        </is>
      </c>
      <c r="B336" s="52" t="str">
        <f>IF(B335&gt;=0,"YES - first order covers CAC","NO - first order loses money after CAC")</f>
        <v>NO - first order loses money after CAC</v>
      </c>
    </row>
    <row r="337">
      <c r="A337" s="3" t="inlineStr">
        <is>
          <t>Payback month (numeric; 99 = none within 24 months)</t>
        </is>
      </c>
      <c r="B337" s="41">
        <f>MIN(C332:Z332)</f>
        <v>99.0</v>
      </c>
    </row>
    <row r="338">
      <c r="A338" s="16" t="inlineStr">
        <is>
          <t>Payback (display)</t>
        </is>
      </c>
      <c r="B338" s="52" t="str">
        <f>IF(B337&gt;24,"No payback within 24 months","Month "&amp;B337)</f>
        <v>No payback within 24 months</v>
      </c>
    </row>
    <row r="339">
      <c r="A339" s="16" t="inlineStr">
        <is>
          <t>12-month contribution LTV per customer (before CAC)</t>
        </is>
      </c>
      <c r="B339" s="42">
        <f>SUM(C326:N326)/$B$298</f>
        <v>0.09128051094226217</v>
      </c>
    </row>
    <row r="340">
      <c r="A340" s="16" t="inlineStr">
        <is>
          <t>24-month contribution LTV per customer (before CAC)</t>
        </is>
      </c>
      <c r="B340" s="42">
        <f>SUM(C326:Z326)/$B$298</f>
        <v>-1.1283303981878388</v>
      </c>
    </row>
    <row r="341">
      <c r="A341" s="16" t="inlineStr">
        <is>
          <t>12-month contribution LTV net of CAC</t>
        </is>
      </c>
      <c r="B341" s="42">
        <f>B339-$B$305</f>
        <v>-44.90871948905774</v>
      </c>
    </row>
    <row r="342">
      <c r="A342" s="3" t="inlineStr">
        <is>
          <t>24-month contribution LTV net of CAC</t>
        </is>
      </c>
      <c r="B342" s="26">
        <f>B340-$B$305</f>
        <v>-46.12833039818784</v>
      </c>
    </row>
    <row r="343">
      <c r="A343" s="16" t="inlineStr">
        <is>
          <t>12-month LTV:CAC (contribution basis)</t>
        </is>
      </c>
      <c r="B343" s="53">
        <f>IFERROR(B339/$B$305,0)</f>
        <v>0.002028455798716937</v>
      </c>
    </row>
    <row r="344">
      <c r="A344" s="3" t="inlineStr">
        <is>
          <t>24-month LTV:CAC</t>
        </is>
      </c>
      <c r="B344" s="37">
        <f>IFERROR(B340/$B$305,0)</f>
        <v>-0.02507400884861864</v>
      </c>
    </row>
    <row r="345">
      <c r="A345" s="3" t="inlineStr">
        <is>
          <t>12-month LTV : blended CAC (info only)</t>
        </is>
      </c>
      <c r="B345" s="37">
        <f>IFERROR(B339/($B$305*Inputs!$E$121),0)</f>
        <v>0.002386418586725808</v>
      </c>
    </row>
    <row r="346">
      <c r="A346" s="3" t="inlineStr">
        <is>
          <t>Cohort contribution from subscription renewals, months 1-24</t>
        </is>
      </c>
      <c r="B346" s="33">
        <f>B321*$B$306</f>
        <v>-255.00832285698456</v>
      </c>
    </row>
    <row r="347">
      <c r="A347" s="3" t="inlineStr">
        <is>
          <t>Renewal contribution per subscriber, 12 months</t>
        </is>
      </c>
      <c r="B347" s="26">
        <f>IFERROR(SUM(C321:N321)*$B$306/$B$301,0)</f>
        <v>-7.464554049038723</v>
      </c>
    </row>
    <row r="348">
      <c r="A348" s="3" t="inlineStr">
        <is>
          <t>Repeat contribution per occasional buyer, 12 months</t>
        </is>
      </c>
      <c r="B348" s="26">
        <f>IFERROR(SUM(C322:N322)*$B$307/$B$302,0)</f>
        <v>-4.700187799999998</v>
      </c>
    </row>
    <row r="349">
      <c r="A349" s="3" t="inlineStr">
        <is>
          <t>Orders per acquired customer, 12 months</t>
        </is>
      </c>
      <c r="B349" s="11">
        <f>($B$298+SUM(C321:N321)+SUM(C322:N322))/$B$298</f>
        <v>1.6844452995363894</v>
      </c>
    </row>
    <row r="350">
      <c r="A350" s="3" t="inlineStr">
        <is>
          <t>Renewal contribution per subscriber, 24 months</t>
        </is>
      </c>
      <c r="B350" s="26">
        <f>IFERROR(SUM(C321:Z321)*$B$306/$B$301,0)</f>
        <v>-12.750416142849229</v>
      </c>
    </row>
    <row r="351">
      <c r="A351" s="3" t="inlineStr">
        <is>
          <t>Repeat contribution per occasional buyer, 24 months</t>
        </is>
      </c>
      <c r="B351" s="26">
        <f>IFERROR(SUM(C322:Z322)*$B$307/$B$302,0)</f>
        <v>-5.7154283647999975</v>
      </c>
    </row>
    <row r="354">
      <c r="A354" s="43" t="inlineStr">
        <is>
          <t>Engine cohort: BASE + shipping shock (sensitivity)</t>
        </is>
      </c>
      <c r="B354" s="44" t="n"/>
      <c r="C354" s="44" t="n"/>
      <c r="D354" s="44" t="n"/>
      <c r="E354" s="44" t="n"/>
      <c r="F354" s="44" t="n"/>
      <c r="G354" s="44" t="n"/>
      <c r="H354" s="44" t="n"/>
      <c r="I354" s="44" t="n"/>
      <c r="J354" s="44" t="n"/>
      <c r="K354" s="44" t="n"/>
      <c r="L354" s="44" t="n"/>
      <c r="M354" s="44" t="n"/>
      <c r="N354" s="44" t="n"/>
      <c r="O354" s="44" t="n"/>
      <c r="P354" s="44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</row>
    <row r="356">
      <c r="A356" s="3" t="inlineStr">
        <is>
          <t>Customers acquired (N)</t>
        </is>
      </c>
      <c r="B356" s="12">
        <f>Inputs!$E$9</f>
        <v>100.0</v>
      </c>
    </row>
    <row r="357">
      <c r="A357" s="3" t="inlineStr">
        <is>
          <t>Subscription attach (after any shock)</t>
        </is>
      </c>
      <c r="B357" s="34">
        <f>MIN(1,Inputs!$E$133*Cat_UnitEcon!$AL$10)</f>
        <v>0.2</v>
      </c>
    </row>
    <row r="358">
      <c r="A358" s="3" t="inlineStr">
        <is>
          <t>Non-subscriber 12-month repeat rate</t>
        </is>
      </c>
      <c r="B358" s="45">
        <f>Inputs!$E$139</f>
        <v>0.2</v>
      </c>
    </row>
    <row r="359">
      <c r="A359" s="3" t="inlineStr">
        <is>
          <t>Segment: subscribers</t>
        </is>
      </c>
      <c r="B359" s="46">
        <f>$B$356*$B$357</f>
        <v>20.0</v>
      </c>
    </row>
    <row r="360">
      <c r="A360" s="3" t="inlineStr">
        <is>
          <t>Segment: occasional repeat buyers</t>
        </is>
      </c>
      <c r="B360" s="46">
        <f>$B$356*(1-$B$357)*$B$358</f>
        <v>16.0</v>
      </c>
    </row>
    <row r="361">
      <c r="A361" s="3" t="inlineStr">
        <is>
          <t>Segment: one-time only</t>
        </is>
      </c>
      <c r="B361" s="46">
        <f>$B$356-$B$359-$B$360</f>
        <v>64.0</v>
      </c>
    </row>
    <row r="362">
      <c r="A362" s="3" t="inlineStr">
        <is>
          <t>First-order contribution before ads, per customer (mix)</t>
        </is>
      </c>
      <c r="B362" s="39">
        <f>Cat_UnitEcon!$AL$57</f>
        <v>2.755196325000009</v>
      </c>
    </row>
    <row r="363">
      <c r="A363" s="3" t="inlineStr">
        <is>
          <t>Paid CAC per new customer</t>
        </is>
      </c>
      <c r="B363" s="39">
        <f>Cat_UnitEcon!$AL$60</f>
        <v>45.0</v>
      </c>
    </row>
    <row r="364">
      <c r="A364" s="3" t="inlineStr">
        <is>
          <t>Contribution per subscription renewal order</t>
        </is>
      </c>
      <c r="B364" s="39">
        <f>Cat_UnitEcon!$AO$50</f>
        <v>-5.067322000000001</v>
      </c>
    </row>
    <row r="365">
      <c r="A365" s="3" t="inlineStr">
        <is>
          <t>Contribution per occasional repeat order</t>
        </is>
      </c>
      <c r="B365" s="39">
        <f>Cat_UnitEcon!$AP$50</f>
        <v>-3.439679999999999</v>
      </c>
    </row>
    <row r="366">
      <c r="A366" s="3" t="inlineStr">
        <is>
          <t>Churn before first renewal (incl. involuntary)</t>
        </is>
      </c>
      <c r="B366" s="34">
        <f>1-(1-MIN(1,Inputs!$E$135*Cat_UnitEcon!$AL$11))*(1-MIN(1,Inputs!$E$137*Cat_UnitEcon!$AL$11))^$B$368</f>
        <v>0.26564000725000003</v>
      </c>
    </row>
    <row r="367">
      <c r="A367" s="3" t="inlineStr">
        <is>
          <t>Churn per later cycle (incl. involuntary)</t>
        </is>
      </c>
      <c r="B367" s="34">
        <f>1-(1-MIN(1,Inputs!$E$136*Cat_UnitEcon!$AL$11))*(1-MIN(1,Inputs!$E$137*Cat_UnitEcon!$AL$11))^$B$368</f>
        <v>0.16772534154999996</v>
      </c>
    </row>
    <row r="368">
      <c r="A368" s="3" t="inlineStr">
        <is>
          <t>Renewal cadence (months)</t>
        </is>
      </c>
      <c r="B368" s="12">
        <f>Inputs!$E$134</f>
        <v>3.0</v>
      </c>
    </row>
    <row r="369">
      <c r="A369" s="3" t="inlineStr">
        <is>
          <t>Occasional: month of first repeat</t>
        </is>
      </c>
      <c r="B369" s="12">
        <f>Inputs!$E$140</f>
        <v>4.0</v>
      </c>
    </row>
    <row r="370">
      <c r="A370" s="3" t="inlineStr">
        <is>
          <t>Occasional: months between orders</t>
        </is>
      </c>
      <c r="B370" s="12">
        <f>Inputs!$E$141</f>
        <v>4.0</v>
      </c>
    </row>
    <row r="371">
      <c r="A371" s="3" t="inlineStr">
        <is>
          <t>Occasional: probability of each further order</t>
        </is>
      </c>
      <c r="B371" s="45">
        <f>Inputs!$E$142</f>
        <v>0.6</v>
      </c>
    </row>
    <row r="372">
      <c r="A372" s="3" t="inlineStr">
        <is>
          <t>First-order contribution - subscriber</t>
        </is>
      </c>
      <c r="B372" s="39">
        <f>Cat_UnitEcon!$AL$63</f>
        <v>2.755196325000009</v>
      </c>
    </row>
    <row r="373">
      <c r="A373" s="3" t="inlineStr">
        <is>
          <t>First-order contribution - non-subscriber</t>
        </is>
      </c>
      <c r="B373" s="39">
        <f>Cat_UnitEcon!$AL$64</f>
        <v>2.755196325000009</v>
      </c>
    </row>
    <row r="374">
      <c r="A374" s="3" t="inlineStr">
        <is>
          <t>First-order gross revenue (mix) - reference</t>
        </is>
      </c>
      <c r="B374" s="39">
        <f>Cat_UnitEcon!$AL$59</f>
        <v>54.9875</v>
      </c>
    </row>
    <row r="375">
      <c r="A375" s="3" t="inlineStr">
        <is>
          <t>Renewal order gross revenue - reference</t>
        </is>
      </c>
      <c r="B375" s="39">
        <f>Cat_UnitEcon!$AO$35</f>
        <v>15.290999999999999</v>
      </c>
    </row>
    <row r="376">
      <c r="A376" s="3" t="inlineStr">
        <is>
          <t>Occasional order gross revenue - reference</t>
        </is>
      </c>
      <c r="B376" s="39">
        <f>Cat_UnitEcon!$AP$35</f>
        <v>16.99</v>
      </c>
    </row>
    <row r="378">
      <c r="A378" s="4" t="inlineStr">
        <is>
          <t>Month</t>
        </is>
      </c>
      <c r="B378" s="4" t="inlineStr">
        <is>
          <t>Total 1-24</t>
        </is>
      </c>
      <c r="C378" s="47" t="n">
        <v>1</v>
      </c>
      <c r="D378" s="47" t="n">
        <v>2</v>
      </c>
      <c r="E378" s="47" t="n">
        <v>3</v>
      </c>
      <c r="F378" s="47" t="n">
        <v>4</v>
      </c>
      <c r="G378" s="47" t="n">
        <v>5</v>
      </c>
      <c r="H378" s="47" t="n">
        <v>6</v>
      </c>
      <c r="I378" s="47" t="n">
        <v>7</v>
      </c>
      <c r="J378" s="47" t="n">
        <v>8</v>
      </c>
      <c r="K378" s="47" t="n">
        <v>9</v>
      </c>
      <c r="L378" s="47" t="n">
        <v>10</v>
      </c>
      <c r="M378" s="47" t="n">
        <v>11</v>
      </c>
      <c r="N378" s="47" t="n">
        <v>12</v>
      </c>
      <c r="O378" s="47" t="n">
        <v>13</v>
      </c>
      <c r="P378" s="47" t="n">
        <v>14</v>
      </c>
      <c r="Q378" s="47" t="n">
        <v>15</v>
      </c>
      <c r="R378" s="47" t="n">
        <v>16</v>
      </c>
      <c r="S378" s="47" t="n">
        <v>17</v>
      </c>
      <c r="T378" s="47" t="n">
        <v>18</v>
      </c>
      <c r="U378" s="47" t="n">
        <v>19</v>
      </c>
      <c r="V378" s="47" t="n">
        <v>20</v>
      </c>
      <c r="W378" s="47" t="n">
        <v>21</v>
      </c>
      <c r="X378" s="47" t="n">
        <v>22</v>
      </c>
      <c r="Y378" s="47" t="n">
        <v>23</v>
      </c>
      <c r="Z378" s="47" t="n">
        <v>24</v>
      </c>
    </row>
    <row r="379">
      <c r="A379" s="3" t="inlineStr">
        <is>
          <t>Subscription renewal orders (paying subscribers)</t>
        </is>
      </c>
      <c r="B379" s="48">
        <f>SUM(C379:Z379)</f>
        <v>63.345135726058</v>
      </c>
      <c r="C379" s="46">
        <f>IF(AND(C$378&gt;1,MOD(C$378-1,$B$368)=0),$B$359*(1-$B$366)*(1-$B$367)^((C$378-1)/$B$368-1),0)</f>
        <v>0.0</v>
      </c>
      <c r="D379" s="46">
        <f>IF(AND(D$378&gt;1,MOD(D$378-1,$B$368)=0),$B$359*(1-$B$366)*(1-$B$367)^((D$378-1)/$B$368-1),0)</f>
        <v>0.0</v>
      </c>
      <c r="E379" s="46">
        <f>IF(AND(E$378&gt;1,MOD(E$378-1,$B$368)=0),$B$359*(1-$B$366)*(1-$B$367)^((E$378-1)/$B$368-1),0)</f>
        <v>0.0</v>
      </c>
      <c r="F379" s="46">
        <f>IF(AND(F$378&gt;1,MOD(F$378-1,$B$368)=0),$B$359*(1-$B$366)*(1-$B$367)^((F$378-1)/$B$368-1),0)</f>
        <v>14.687199855</v>
      </c>
      <c r="G379" s="46">
        <f>IF(AND(G$378&gt;1,MOD(G$378-1,$B$368)=0),$B$359*(1-$B$366)*(1-$B$367)^((G$378-1)/$B$368-1),0)</f>
        <v>0.0</v>
      </c>
      <c r="H379" s="46">
        <f>IF(AND(H$378&gt;1,MOD(H$378-1,$B$368)=0),$B$359*(1-$B$366)*(1-$B$367)^((H$378-1)/$B$368-1),0)</f>
        <v>0.0</v>
      </c>
      <c r="I379" s="46">
        <f>IF(AND(I$378&gt;1,MOD(I$378-1,$B$368)=0),$B$359*(1-$B$366)*(1-$B$367)^((I$378-1)/$B$368-1),0)</f>
        <v>12.223784242907014</v>
      </c>
      <c r="J379" s="46">
        <f>IF(AND(J$378&gt;1,MOD(J$378-1,$B$368)=0),$B$359*(1-$B$366)*(1-$B$367)^((J$378-1)/$B$368-1),0)</f>
        <v>0.0</v>
      </c>
      <c r="K379" s="46">
        <f>IF(AND(K$378&gt;1,MOD(K$378-1,$B$368)=0),$B$359*(1-$B$366)*(1-$B$367)^((K$378-1)/$B$368-1),0)</f>
        <v>0.0</v>
      </c>
      <c r="L379" s="46">
        <f>IF(AND(L$378&gt;1,MOD(L$378-1,$B$368)=0),$B$359*(1-$B$366)*(1-$B$367)^((L$378-1)/$B$368-1),0)</f>
        <v>10.173545855731927</v>
      </c>
      <c r="M379" s="46">
        <f>IF(AND(M$378&gt;1,MOD(M$378-1,$B$368)=0),$B$359*(1-$B$366)*(1-$B$367)^((M$378-1)/$B$368-1),0)</f>
        <v>0.0</v>
      </c>
      <c r="N379" s="46">
        <f>IF(AND(N$378&gt;1,MOD(N$378-1,$B$368)=0),$B$359*(1-$B$366)*(1-$B$367)^((N$378-1)/$B$368-1),0)</f>
        <v>0.0</v>
      </c>
      <c r="O379" s="46">
        <f>IF(AND(O$378&gt;1,MOD(O$378-1,$B$368)=0),$B$359*(1-$B$366)*(1-$B$367)^((O$378-1)/$B$368-1),0)</f>
        <v>8.467184402304705</v>
      </c>
      <c r="P379" s="46">
        <f>IF(AND(P$378&gt;1,MOD(P$378-1,$B$368)=0),$B$359*(1-$B$366)*(1-$B$367)^((P$378-1)/$B$368-1),0)</f>
        <v>0.0</v>
      </c>
      <c r="Q379" s="46">
        <f>IF(AND(Q$378&gt;1,MOD(Q$378-1,$B$368)=0),$B$359*(1-$B$366)*(1-$B$367)^((Q$378-1)/$B$368-1),0)</f>
        <v>0.0</v>
      </c>
      <c r="R379" s="46">
        <f>IF(AND(R$378&gt;1,MOD(R$378-1,$B$368)=0),$B$359*(1-$B$366)*(1-$B$367)^((R$378-1)/$B$368-1),0)</f>
        <v>7.047023006461314</v>
      </c>
      <c r="S379" s="46">
        <f>IF(AND(S$378&gt;1,MOD(S$378-1,$B$368)=0),$B$359*(1-$B$366)*(1-$B$367)^((S$378-1)/$B$368-1),0)</f>
        <v>0.0</v>
      </c>
      <c r="T379" s="46">
        <f>IF(AND(T$378&gt;1,MOD(T$378-1,$B$368)=0),$B$359*(1-$B$366)*(1-$B$367)^((T$378-1)/$B$368-1),0)</f>
        <v>0.0</v>
      </c>
      <c r="U379" s="46">
        <f>IF(AND(U$378&gt;1,MOD(U$378-1,$B$368)=0),$B$359*(1-$B$366)*(1-$B$367)^((U$378-1)/$B$368-1),0)</f>
        <v>5.865058665791883</v>
      </c>
      <c r="V379" s="46">
        <f>IF(AND(V$378&gt;1,MOD(V$378-1,$B$368)=0),$B$359*(1-$B$366)*(1-$B$367)^((V$378-1)/$B$368-1),0)</f>
        <v>0.0</v>
      </c>
      <c r="W379" s="46">
        <f>IF(AND(W$378&gt;1,MOD(W$378-1,$B$368)=0),$B$359*(1-$B$366)*(1-$B$367)^((W$378-1)/$B$368-1),0)</f>
        <v>0.0</v>
      </c>
      <c r="X379" s="46">
        <f>IF(AND(X$378&gt;1,MOD(X$378-1,$B$368)=0),$B$359*(1-$B$366)*(1-$B$367)^((X$378-1)/$B$368-1),0)</f>
        <v>4.8813396978611525</v>
      </c>
      <c r="Y379" s="46">
        <f>IF(AND(Y$378&gt;1,MOD(Y$378-1,$B$368)=0),$B$359*(1-$B$366)*(1-$B$367)^((Y$378-1)/$B$368-1),0)</f>
        <v>0.0</v>
      </c>
      <c r="Z379" s="46">
        <f>IF(AND(Z$378&gt;1,MOD(Z$378-1,$B$368)=0),$B$359*(1-$B$366)*(1-$B$367)^((Z$378-1)/$B$368-1),0)</f>
        <v>0.0</v>
      </c>
    </row>
    <row r="380">
      <c r="A380" s="3" t="inlineStr">
        <is>
          <t>Occasional repeat orders</t>
        </is>
      </c>
      <c r="B380" s="48">
        <f>SUM(C380:Z380)</f>
        <v>38.133759999999995</v>
      </c>
      <c r="C380" s="46">
        <f>IF(AND(C$378&gt;=$B$369,MOD(C$378-$B$369,$B$370)=0),$B$360*$B$371^((C$378-$B$369)/$B$370),0)</f>
        <v>0.0</v>
      </c>
      <c r="D380" s="46">
        <f>IF(AND(D$378&gt;=$B$369,MOD(D$378-$B$369,$B$370)=0),$B$360*$B$371^((D$378-$B$369)/$B$370),0)</f>
        <v>0.0</v>
      </c>
      <c r="E380" s="46">
        <f>IF(AND(E$378&gt;=$B$369,MOD(E$378-$B$369,$B$370)=0),$B$360*$B$371^((E$378-$B$369)/$B$370),0)</f>
        <v>0.0</v>
      </c>
      <c r="F380" s="46">
        <f>IF(AND(F$378&gt;=$B$369,MOD(F$378-$B$369,$B$370)=0),$B$360*$B$371^((F$378-$B$369)/$B$370),0)</f>
        <v>16.0</v>
      </c>
      <c r="G380" s="46">
        <f>IF(AND(G$378&gt;=$B$369,MOD(G$378-$B$369,$B$370)=0),$B$360*$B$371^((G$378-$B$369)/$B$370),0)</f>
        <v>0.0</v>
      </c>
      <c r="H380" s="46">
        <f>IF(AND(H$378&gt;=$B$369,MOD(H$378-$B$369,$B$370)=0),$B$360*$B$371^((H$378-$B$369)/$B$370),0)</f>
        <v>0.0</v>
      </c>
      <c r="I380" s="46">
        <f>IF(AND(I$378&gt;=$B$369,MOD(I$378-$B$369,$B$370)=0),$B$360*$B$371^((I$378-$B$369)/$B$370),0)</f>
        <v>0.0</v>
      </c>
      <c r="J380" s="46">
        <f>IF(AND(J$378&gt;=$B$369,MOD(J$378-$B$369,$B$370)=0),$B$360*$B$371^((J$378-$B$369)/$B$370),0)</f>
        <v>9.6</v>
      </c>
      <c r="K380" s="46">
        <f>IF(AND(K$378&gt;=$B$369,MOD(K$378-$B$369,$B$370)=0),$B$360*$B$371^((K$378-$B$369)/$B$370),0)</f>
        <v>0.0</v>
      </c>
      <c r="L380" s="46">
        <f>IF(AND(L$378&gt;=$B$369,MOD(L$378-$B$369,$B$370)=0),$B$360*$B$371^((L$378-$B$369)/$B$370),0)</f>
        <v>0.0</v>
      </c>
      <c r="M380" s="46">
        <f>IF(AND(M$378&gt;=$B$369,MOD(M$378-$B$369,$B$370)=0),$B$360*$B$371^((M$378-$B$369)/$B$370),0)</f>
        <v>0.0</v>
      </c>
      <c r="N380" s="46">
        <f>IF(AND(N$378&gt;=$B$369,MOD(N$378-$B$369,$B$370)=0),$B$360*$B$371^((N$378-$B$369)/$B$370),0)</f>
        <v>5.76</v>
      </c>
      <c r="O380" s="46">
        <f>IF(AND(O$378&gt;=$B$369,MOD(O$378-$B$369,$B$370)=0),$B$360*$B$371^((O$378-$B$369)/$B$370),0)</f>
        <v>0.0</v>
      </c>
      <c r="P380" s="46">
        <f>IF(AND(P$378&gt;=$B$369,MOD(P$378-$B$369,$B$370)=0),$B$360*$B$371^((P$378-$B$369)/$B$370),0)</f>
        <v>0.0</v>
      </c>
      <c r="Q380" s="46">
        <f>IF(AND(Q$378&gt;=$B$369,MOD(Q$378-$B$369,$B$370)=0),$B$360*$B$371^((Q$378-$B$369)/$B$370),0)</f>
        <v>0.0</v>
      </c>
      <c r="R380" s="46">
        <f>IF(AND(R$378&gt;=$B$369,MOD(R$378-$B$369,$B$370)=0),$B$360*$B$371^((R$378-$B$369)/$B$370),0)</f>
        <v>3.4559999999999995</v>
      </c>
      <c r="S380" s="46">
        <f>IF(AND(S$378&gt;=$B$369,MOD(S$378-$B$369,$B$370)=0),$B$360*$B$371^((S$378-$B$369)/$B$370),0)</f>
        <v>0.0</v>
      </c>
      <c r="T380" s="46">
        <f>IF(AND(T$378&gt;=$B$369,MOD(T$378-$B$369,$B$370)=0),$B$360*$B$371^((T$378-$B$369)/$B$370),0)</f>
        <v>0.0</v>
      </c>
      <c r="U380" s="46">
        <f>IF(AND(U$378&gt;=$B$369,MOD(U$378-$B$369,$B$370)=0),$B$360*$B$371^((U$378-$B$369)/$B$370),0)</f>
        <v>0.0</v>
      </c>
      <c r="V380" s="46">
        <f>IF(AND(V$378&gt;=$B$369,MOD(V$378-$B$369,$B$370)=0),$B$360*$B$371^((V$378-$B$369)/$B$370),0)</f>
        <v>2.0736</v>
      </c>
      <c r="W380" s="46">
        <f>IF(AND(W$378&gt;=$B$369,MOD(W$378-$B$369,$B$370)=0),$B$360*$B$371^((W$378-$B$369)/$B$370),0)</f>
        <v>0.0</v>
      </c>
      <c r="X380" s="46">
        <f>IF(AND(X$378&gt;=$B$369,MOD(X$378-$B$369,$B$370)=0),$B$360*$B$371^((X$378-$B$369)/$B$370),0)</f>
        <v>0.0</v>
      </c>
      <c r="Y380" s="46">
        <f>IF(AND(Y$378&gt;=$B$369,MOD(Y$378-$B$369,$B$370)=0),$B$360*$B$371^((Y$378-$B$369)/$B$370),0)</f>
        <v>0.0</v>
      </c>
      <c r="Z380" s="46">
        <f>IF(AND(Z$378&gt;=$B$369,MOD(Z$378-$B$369,$B$370)=0),$B$360*$B$371^((Z$378-$B$369)/$B$370),0)</f>
        <v>1.2441599999999997</v>
      </c>
    </row>
    <row r="381">
      <c r="A381" s="3" t="inlineStr">
        <is>
          <t>Contribution - one-time-only segment</t>
        </is>
      </c>
      <c r="B381" s="30">
        <f>SUM(C381:Z381)</f>
        <v>176.33256480000057</v>
      </c>
      <c r="C381" s="33">
        <f>IF(C$378=1,$B$361*$B$373,0)</f>
        <v>176.33256480000057</v>
      </c>
      <c r="D381" s="33">
        <f>IF(D$378=1,$B$361*$B$373,0)</f>
        <v>0.0</v>
      </c>
      <c r="E381" s="33">
        <f>IF(E$378=1,$B$361*$B$373,0)</f>
        <v>0.0</v>
      </c>
      <c r="F381" s="33">
        <f>IF(F$378=1,$B$361*$B$373,0)</f>
        <v>0.0</v>
      </c>
      <c r="G381" s="33">
        <f>IF(G$378=1,$B$361*$B$373,0)</f>
        <v>0.0</v>
      </c>
      <c r="H381" s="33">
        <f>IF(H$378=1,$B$361*$B$373,0)</f>
        <v>0.0</v>
      </c>
      <c r="I381" s="33">
        <f>IF(I$378=1,$B$361*$B$373,0)</f>
        <v>0.0</v>
      </c>
      <c r="J381" s="33">
        <f>IF(J$378=1,$B$361*$B$373,0)</f>
        <v>0.0</v>
      </c>
      <c r="K381" s="33">
        <f>IF(K$378=1,$B$361*$B$373,0)</f>
        <v>0.0</v>
      </c>
      <c r="L381" s="33">
        <f>IF(L$378=1,$B$361*$B$373,0)</f>
        <v>0.0</v>
      </c>
      <c r="M381" s="33">
        <f>IF(M$378=1,$B$361*$B$373,0)</f>
        <v>0.0</v>
      </c>
      <c r="N381" s="33">
        <f>IF(N$378=1,$B$361*$B$373,0)</f>
        <v>0.0</v>
      </c>
      <c r="O381" s="33">
        <f>IF(O$378=1,$B$361*$B$373,0)</f>
        <v>0.0</v>
      </c>
      <c r="P381" s="33">
        <f>IF(P$378=1,$B$361*$B$373,0)</f>
        <v>0.0</v>
      </c>
      <c r="Q381" s="33">
        <f>IF(Q$378=1,$B$361*$B$373,0)</f>
        <v>0.0</v>
      </c>
      <c r="R381" s="33">
        <f>IF(R$378=1,$B$361*$B$373,0)</f>
        <v>0.0</v>
      </c>
      <c r="S381" s="33">
        <f>IF(S$378=1,$B$361*$B$373,0)</f>
        <v>0.0</v>
      </c>
      <c r="T381" s="33">
        <f>IF(T$378=1,$B$361*$B$373,0)</f>
        <v>0.0</v>
      </c>
      <c r="U381" s="33">
        <f>IF(U$378=1,$B$361*$B$373,0)</f>
        <v>0.0</v>
      </c>
      <c r="V381" s="33">
        <f>IF(V$378=1,$B$361*$B$373,0)</f>
        <v>0.0</v>
      </c>
      <c r="W381" s="33">
        <f>IF(W$378=1,$B$361*$B$373,0)</f>
        <v>0.0</v>
      </c>
      <c r="X381" s="33">
        <f>IF(X$378=1,$B$361*$B$373,0)</f>
        <v>0.0</v>
      </c>
      <c r="Y381" s="33">
        <f>IF(Y$378=1,$B$361*$B$373,0)</f>
        <v>0.0</v>
      </c>
      <c r="Z381" s="33">
        <f>IF(Z$378=1,$B$361*$B$373,0)</f>
        <v>0.0</v>
      </c>
    </row>
    <row r="382">
      <c r="A382" s="3" t="inlineStr">
        <is>
          <t>Contribution - occasional repeat segment</t>
        </is>
      </c>
      <c r="B382" s="30">
        <f>SUM(C382:Z382)</f>
        <v>-87.08479039679982</v>
      </c>
      <c r="C382" s="33">
        <f>IF(C$378=1,$B$360*$B$373,0)+C380*$B$365</f>
        <v>44.08314120000014</v>
      </c>
      <c r="D382" s="33">
        <f>IF(D$378=1,$B$360*$B$373,0)+D380*$B$365</f>
        <v>0.0</v>
      </c>
      <c r="E382" s="33">
        <f>IF(E$378=1,$B$360*$B$373,0)+E380*$B$365</f>
        <v>0.0</v>
      </c>
      <c r="F382" s="33">
        <f>IF(F$378=1,$B$360*$B$373,0)+F380*$B$365</f>
        <v>-55.03487999999999</v>
      </c>
      <c r="G382" s="33">
        <f>IF(G$378=1,$B$360*$B$373,0)+G380*$B$365</f>
        <v>0.0</v>
      </c>
      <c r="H382" s="33">
        <f>IF(H$378=1,$B$360*$B$373,0)+H380*$B$365</f>
        <v>0.0</v>
      </c>
      <c r="I382" s="33">
        <f>IF(I$378=1,$B$360*$B$373,0)+I380*$B$365</f>
        <v>0.0</v>
      </c>
      <c r="J382" s="33">
        <f>IF(J$378=1,$B$360*$B$373,0)+J380*$B$365</f>
        <v>-33.02092799999999</v>
      </c>
      <c r="K382" s="33">
        <f>IF(K$378=1,$B$360*$B$373,0)+K380*$B$365</f>
        <v>0.0</v>
      </c>
      <c r="L382" s="33">
        <f>IF(L$378=1,$B$360*$B$373,0)+L380*$B$365</f>
        <v>0.0</v>
      </c>
      <c r="M382" s="33">
        <f>IF(M$378=1,$B$360*$B$373,0)+M380*$B$365</f>
        <v>0.0</v>
      </c>
      <c r="N382" s="33">
        <f>IF(N$378=1,$B$360*$B$373,0)+N380*$B$365</f>
        <v>-19.812556799999996</v>
      </c>
      <c r="O382" s="33">
        <f>IF(O$378=1,$B$360*$B$373,0)+O380*$B$365</f>
        <v>0.0</v>
      </c>
      <c r="P382" s="33">
        <f>IF(P$378=1,$B$360*$B$373,0)+P380*$B$365</f>
        <v>0.0</v>
      </c>
      <c r="Q382" s="33">
        <f>IF(Q$378=1,$B$360*$B$373,0)+Q380*$B$365</f>
        <v>0.0</v>
      </c>
      <c r="R382" s="33">
        <f>IF(R$378=1,$B$360*$B$373,0)+R380*$B$365</f>
        <v>-11.887534079999995</v>
      </c>
      <c r="S382" s="33">
        <f>IF(S$378=1,$B$360*$B$373,0)+S380*$B$365</f>
        <v>0.0</v>
      </c>
      <c r="T382" s="33">
        <f>IF(T$378=1,$B$360*$B$373,0)+T380*$B$365</f>
        <v>0.0</v>
      </c>
      <c r="U382" s="33">
        <f>IF(U$378=1,$B$360*$B$373,0)+U380*$B$365</f>
        <v>0.0</v>
      </c>
      <c r="V382" s="33">
        <f>IF(V$378=1,$B$360*$B$373,0)+V380*$B$365</f>
        <v>-7.1325204479999975</v>
      </c>
      <c r="W382" s="33">
        <f>IF(W$378=1,$B$360*$B$373,0)+W380*$B$365</f>
        <v>0.0</v>
      </c>
      <c r="X382" s="33">
        <f>IF(X$378=1,$B$360*$B$373,0)+X380*$B$365</f>
        <v>0.0</v>
      </c>
      <c r="Y382" s="33">
        <f>IF(Y$378=1,$B$360*$B$373,0)+Y380*$B$365</f>
        <v>0.0</v>
      </c>
      <c r="Z382" s="33">
        <f>IF(Z$378=1,$B$360*$B$373,0)+Z380*$B$365</f>
        <v>-4.279512268799998</v>
      </c>
    </row>
    <row r="383">
      <c r="A383" s="3" t="inlineStr">
        <is>
          <t>Contribution - subscriber segment</t>
        </is>
      </c>
      <c r="B383" s="30">
        <f>SUM(C383:Z383)</f>
        <v>-265.88627335763954</v>
      </c>
      <c r="C383" s="33">
        <f>IF(C$378=1,$B$359*$B$372,0)+C379*$B$364</f>
        <v>55.10392650000018</v>
      </c>
      <c r="D383" s="33">
        <f>IF(D$378=1,$B$359*$B$372,0)+D379*$B$364</f>
        <v>0.0</v>
      </c>
      <c r="E383" s="33">
        <f>IF(E$378=1,$B$359*$B$372,0)+E379*$B$364</f>
        <v>0.0</v>
      </c>
      <c r="F383" s="33">
        <f>IF(F$378=1,$B$359*$B$372,0)+F379*$B$364</f>
        <v>-74.42477094363832</v>
      </c>
      <c r="G383" s="33">
        <f>IF(G$378=1,$B$359*$B$372,0)+G379*$B$364</f>
        <v>0.0</v>
      </c>
      <c r="H383" s="33">
        <f>IF(H$378=1,$B$359*$B$372,0)+H379*$B$364</f>
        <v>0.0</v>
      </c>
      <c r="I383" s="33">
        <f>IF(I$378=1,$B$359*$B$372,0)+I379*$B$364</f>
        <v>-61.94185081733607</v>
      </c>
      <c r="J383" s="33">
        <f>IF(J$378=1,$B$359*$B$372,0)+J379*$B$364</f>
        <v>0.0</v>
      </c>
      <c r="K383" s="33">
        <f>IF(K$378=1,$B$359*$B$372,0)+K379*$B$364</f>
        <v>0.0</v>
      </c>
      <c r="L383" s="33">
        <f>IF(L$378=1,$B$359*$B$372,0)+L379*$B$364</f>
        <v>-51.55263273275923</v>
      </c>
      <c r="M383" s="33">
        <f>IF(M$378=1,$B$359*$B$372,0)+M379*$B$364</f>
        <v>0.0</v>
      </c>
      <c r="N383" s="33">
        <f>IF(N$378=1,$B$359*$B$372,0)+N379*$B$364</f>
        <v>0.0</v>
      </c>
      <c r="O383" s="33">
        <f>IF(O$378=1,$B$359*$B$372,0)+O379*$B$364</f>
        <v>-42.905949799855485</v>
      </c>
      <c r="P383" s="33">
        <f>IF(P$378=1,$B$359*$B$372,0)+P379*$B$364</f>
        <v>0.0</v>
      </c>
      <c r="Q383" s="33">
        <f>IF(Q$378=1,$B$359*$B$372,0)+Q379*$B$364</f>
        <v>0.0</v>
      </c>
      <c r="R383" s="33">
        <f>IF(R$378=1,$B$359*$B$372,0)+R379*$B$364</f>
        <v>-35.70953471514757</v>
      </c>
      <c r="S383" s="33">
        <f>IF(S$378=1,$B$359*$B$372,0)+S379*$B$364</f>
        <v>0.0</v>
      </c>
      <c r="T383" s="33">
        <f>IF(T$378=1,$B$359*$B$372,0)+T379*$B$364</f>
        <v>0.0</v>
      </c>
      <c r="U383" s="33">
        <f>IF(U$378=1,$B$359*$B$372,0)+U379*$B$364</f>
        <v>-29.720140808457863</v>
      </c>
      <c r="V383" s="33">
        <f>IF(V$378=1,$B$359*$B$372,0)+V379*$B$364</f>
        <v>0.0</v>
      </c>
      <c r="W383" s="33">
        <f>IF(W$378=1,$B$359*$B$372,0)+W379*$B$364</f>
        <v>0.0</v>
      </c>
      <c r="X383" s="33">
        <f>IF(X$378=1,$B$359*$B$372,0)+X379*$B$364</f>
        <v>-24.735320040445174</v>
      </c>
      <c r="Y383" s="33">
        <f>IF(Y$378=1,$B$359*$B$372,0)+Y379*$B$364</f>
        <v>0.0</v>
      </c>
      <c r="Z383" s="33">
        <f>IF(Z$378=1,$B$359*$B$372,0)+Z379*$B$364</f>
        <v>0.0</v>
      </c>
    </row>
    <row r="384">
      <c r="A384" s="16" t="inlineStr">
        <is>
          <t>Total contribution before CAC</t>
        </is>
      </c>
      <c r="B384" s="30">
        <f>SUM(C384:Z384)</f>
        <v>-176.63849895443877</v>
      </c>
      <c r="C384" s="30">
        <f>SUM(C381:C383)</f>
        <v>275.5196325000009</v>
      </c>
      <c r="D384" s="30">
        <f>SUM(D381:D383)</f>
        <v>0.0</v>
      </c>
      <c r="E384" s="30">
        <f>SUM(E381:E383)</f>
        <v>0.0</v>
      </c>
      <c r="F384" s="30">
        <f>SUM(F381:F383)</f>
        <v>-129.4596509436383</v>
      </c>
      <c r="G384" s="30">
        <f>SUM(G381:G383)</f>
        <v>0.0</v>
      </c>
      <c r="H384" s="30">
        <f>SUM(H381:H383)</f>
        <v>0.0</v>
      </c>
      <c r="I384" s="30">
        <f>SUM(I381:I383)</f>
        <v>-61.94185081733607</v>
      </c>
      <c r="J384" s="30">
        <f>SUM(J381:J383)</f>
        <v>-33.02092799999999</v>
      </c>
      <c r="K384" s="30">
        <f>SUM(K381:K383)</f>
        <v>0.0</v>
      </c>
      <c r="L384" s="30">
        <f>SUM(L381:L383)</f>
        <v>-51.55263273275923</v>
      </c>
      <c r="M384" s="30">
        <f>SUM(M381:M383)</f>
        <v>0.0</v>
      </c>
      <c r="N384" s="30">
        <f>SUM(N381:N383)</f>
        <v>-19.812556799999996</v>
      </c>
      <c r="O384" s="30">
        <f>SUM(O381:O383)</f>
        <v>-42.905949799855485</v>
      </c>
      <c r="P384" s="30">
        <f>SUM(P381:P383)</f>
        <v>0.0</v>
      </c>
      <c r="Q384" s="30">
        <f>SUM(Q381:Q383)</f>
        <v>0.0</v>
      </c>
      <c r="R384" s="30">
        <f>SUM(R381:R383)</f>
        <v>-47.597068795147564</v>
      </c>
      <c r="S384" s="30">
        <f>SUM(S381:S383)</f>
        <v>0.0</v>
      </c>
      <c r="T384" s="30">
        <f>SUM(T381:T383)</f>
        <v>0.0</v>
      </c>
      <c r="U384" s="30">
        <f>SUM(U381:U383)</f>
        <v>-29.720140808457863</v>
      </c>
      <c r="V384" s="30">
        <f>SUM(V381:V383)</f>
        <v>-7.1325204479999975</v>
      </c>
      <c r="W384" s="30">
        <f>SUM(W381:W383)</f>
        <v>0.0</v>
      </c>
      <c r="X384" s="30">
        <f>SUM(X381:X383)</f>
        <v>-24.735320040445174</v>
      </c>
      <c r="Y384" s="30">
        <f>SUM(Y381:Y383)</f>
        <v>0.0</v>
      </c>
      <c r="Z384" s="30">
        <f>SUM(Z381:Z383)</f>
        <v>-4.279512268799998</v>
      </c>
    </row>
    <row r="385">
      <c r="A385" s="3" t="inlineStr">
        <is>
          <t>CAC (paid, month 1)</t>
        </is>
      </c>
      <c r="B385" s="30">
        <f>SUM(C385:Z385)</f>
        <v>-4500.0</v>
      </c>
      <c r="C385" s="33">
        <f>IF(C$378=1,-$B$356*$B$363,0)</f>
        <v>-4500.0</v>
      </c>
      <c r="D385" s="33">
        <f>IF(D$378=1,-$B$356*$B$363,0)</f>
        <v>0.0</v>
      </c>
      <c r="E385" s="33">
        <f>IF(E$378=1,-$B$356*$B$363,0)</f>
        <v>0.0</v>
      </c>
      <c r="F385" s="33">
        <f>IF(F$378=1,-$B$356*$B$363,0)</f>
        <v>0.0</v>
      </c>
      <c r="G385" s="33">
        <f>IF(G$378=1,-$B$356*$B$363,0)</f>
        <v>0.0</v>
      </c>
      <c r="H385" s="33">
        <f>IF(H$378=1,-$B$356*$B$363,0)</f>
        <v>0.0</v>
      </c>
      <c r="I385" s="33">
        <f>IF(I$378=1,-$B$356*$B$363,0)</f>
        <v>0.0</v>
      </c>
      <c r="J385" s="33">
        <f>IF(J$378=1,-$B$356*$B$363,0)</f>
        <v>0.0</v>
      </c>
      <c r="K385" s="33">
        <f>IF(K$378=1,-$B$356*$B$363,0)</f>
        <v>0.0</v>
      </c>
      <c r="L385" s="33">
        <f>IF(L$378=1,-$B$356*$B$363,0)</f>
        <v>0.0</v>
      </c>
      <c r="M385" s="33">
        <f>IF(M$378=1,-$B$356*$B$363,0)</f>
        <v>0.0</v>
      </c>
      <c r="N385" s="33">
        <f>IF(N$378=1,-$B$356*$B$363,0)</f>
        <v>0.0</v>
      </c>
      <c r="O385" s="33">
        <f>IF(O$378=1,-$B$356*$B$363,0)</f>
        <v>0.0</v>
      </c>
      <c r="P385" s="33">
        <f>IF(P$378=1,-$B$356*$B$363,0)</f>
        <v>0.0</v>
      </c>
      <c r="Q385" s="33">
        <f>IF(Q$378=1,-$B$356*$B$363,0)</f>
        <v>0.0</v>
      </c>
      <c r="R385" s="33">
        <f>IF(R$378=1,-$B$356*$B$363,0)</f>
        <v>0.0</v>
      </c>
      <c r="S385" s="33">
        <f>IF(S$378=1,-$B$356*$B$363,0)</f>
        <v>0.0</v>
      </c>
      <c r="T385" s="33">
        <f>IF(T$378=1,-$B$356*$B$363,0)</f>
        <v>0.0</v>
      </c>
      <c r="U385" s="33">
        <f>IF(U$378=1,-$B$356*$B$363,0)</f>
        <v>0.0</v>
      </c>
      <c r="V385" s="33">
        <f>IF(V$378=1,-$B$356*$B$363,0)</f>
        <v>0.0</v>
      </c>
      <c r="W385" s="33">
        <f>IF(W$378=1,-$B$356*$B$363,0)</f>
        <v>0.0</v>
      </c>
      <c r="X385" s="33">
        <f>IF(X$378=1,-$B$356*$B$363,0)</f>
        <v>0.0</v>
      </c>
      <c r="Y385" s="33">
        <f>IF(Y$378=1,-$B$356*$B$363,0)</f>
        <v>0.0</v>
      </c>
      <c r="Z385" s="33">
        <f>IF(Z$378=1,-$B$356*$B$363,0)</f>
        <v>0.0</v>
      </c>
    </row>
    <row r="386">
      <c r="A386" s="3" t="inlineStr">
        <is>
          <t>Net contribution after CAC</t>
        </is>
      </c>
      <c r="B386" s="30">
        <f>SUM(C386:Z386)</f>
        <v>-4676.6384989544395</v>
      </c>
      <c r="C386" s="33">
        <f>C384+C385</f>
        <v>-4224.480367499999</v>
      </c>
      <c r="D386" s="33">
        <f>D384+D385</f>
        <v>0.0</v>
      </c>
      <c r="E386" s="33">
        <f>E384+E385</f>
        <v>0.0</v>
      </c>
      <c r="F386" s="33">
        <f>F384+F385</f>
        <v>-129.4596509436383</v>
      </c>
      <c r="G386" s="33">
        <f>G384+G385</f>
        <v>0.0</v>
      </c>
      <c r="H386" s="33">
        <f>H384+H385</f>
        <v>0.0</v>
      </c>
      <c r="I386" s="33">
        <f>I384+I385</f>
        <v>-61.94185081733607</v>
      </c>
      <c r="J386" s="33">
        <f>J384+J385</f>
        <v>-33.02092799999999</v>
      </c>
      <c r="K386" s="33">
        <f>K384+K385</f>
        <v>0.0</v>
      </c>
      <c r="L386" s="33">
        <f>L384+L385</f>
        <v>-51.55263273275923</v>
      </c>
      <c r="M386" s="33">
        <f>M384+M385</f>
        <v>0.0</v>
      </c>
      <c r="N386" s="33">
        <f>N384+N385</f>
        <v>-19.812556799999996</v>
      </c>
      <c r="O386" s="33">
        <f>O384+O385</f>
        <v>-42.905949799855485</v>
      </c>
      <c r="P386" s="33">
        <f>P384+P385</f>
        <v>0.0</v>
      </c>
      <c r="Q386" s="33">
        <f>Q384+Q385</f>
        <v>0.0</v>
      </c>
      <c r="R386" s="33">
        <f>R384+R385</f>
        <v>-47.597068795147564</v>
      </c>
      <c r="S386" s="33">
        <f>S384+S385</f>
        <v>0.0</v>
      </c>
      <c r="T386" s="33">
        <f>T384+T385</f>
        <v>0.0</v>
      </c>
      <c r="U386" s="33">
        <f>U384+U385</f>
        <v>-29.720140808457863</v>
      </c>
      <c r="V386" s="33">
        <f>V384+V385</f>
        <v>-7.1325204479999975</v>
      </c>
      <c r="W386" s="33">
        <f>W384+W385</f>
        <v>0.0</v>
      </c>
      <c r="X386" s="33">
        <f>X384+X385</f>
        <v>-24.735320040445174</v>
      </c>
      <c r="Y386" s="33">
        <f>Y384+Y385</f>
        <v>0.0</v>
      </c>
      <c r="Z386" s="33">
        <f>Z384+Z385</f>
        <v>-4.279512268799998</v>
      </c>
    </row>
    <row r="387">
      <c r="A387" s="16" t="inlineStr">
        <is>
          <t>CUMULATIVE contribution after CAC</t>
        </is>
      </c>
      <c r="C387" s="49">
        <f>C386</f>
        <v>-4224.480367499999</v>
      </c>
      <c r="D387" s="49">
        <f>C387+D386</f>
        <v>-4224.480367499999</v>
      </c>
      <c r="E387" s="49">
        <f>D387+E386</f>
        <v>-4224.480367499999</v>
      </c>
      <c r="F387" s="49">
        <f>E387+F386</f>
        <v>-4353.940018443638</v>
      </c>
      <c r="G387" s="49">
        <f>F387+G386</f>
        <v>-4353.940018443638</v>
      </c>
      <c r="H387" s="49">
        <f>G387+H386</f>
        <v>-4353.940018443638</v>
      </c>
      <c r="I387" s="49">
        <f>H387+I386</f>
        <v>-4415.881869260974</v>
      </c>
      <c r="J387" s="49">
        <f>I387+J386</f>
        <v>-4448.902797260974</v>
      </c>
      <c r="K387" s="49">
        <f>J387+K386</f>
        <v>-4448.902797260974</v>
      </c>
      <c r="L387" s="49">
        <f>K387+L386</f>
        <v>-4500.455429993733</v>
      </c>
      <c r="M387" s="49">
        <f>L387+M386</f>
        <v>-4500.455429993733</v>
      </c>
      <c r="N387" s="49">
        <f>M387+N386</f>
        <v>-4520.267986793732</v>
      </c>
      <c r="O387" s="49">
        <f>N387+O386</f>
        <v>-4563.173936593587</v>
      </c>
      <c r="P387" s="49">
        <f>O387+P386</f>
        <v>-4563.173936593587</v>
      </c>
      <c r="Q387" s="49">
        <f>P387+Q386</f>
        <v>-4563.173936593587</v>
      </c>
      <c r="R387" s="49">
        <f>Q387+R386</f>
        <v>-4610.771005388735</v>
      </c>
      <c r="S387" s="49">
        <f>R387+S386</f>
        <v>-4610.771005388735</v>
      </c>
      <c r="T387" s="49">
        <f>S387+T386</f>
        <v>-4610.771005388735</v>
      </c>
      <c r="U387" s="49">
        <f>T387+U386</f>
        <v>-4640.491146197192</v>
      </c>
      <c r="V387" s="49">
        <f>U387+V386</f>
        <v>-4647.623666645192</v>
      </c>
      <c r="W387" s="49">
        <f>V387+W386</f>
        <v>-4647.623666645192</v>
      </c>
      <c r="X387" s="49">
        <f>W387+X386</f>
        <v>-4672.358986685637</v>
      </c>
      <c r="Y387" s="49">
        <f>X387+Y386</f>
        <v>-4672.358986685637</v>
      </c>
      <c r="Z387" s="49">
        <f>Y387+Z386</f>
        <v>-4676.638498954438</v>
      </c>
    </row>
    <row r="388">
      <c r="A388" s="3" t="inlineStr">
        <is>
          <t>Cumulative contribution before CAC, per customer</t>
        </is>
      </c>
      <c r="C388" s="26">
        <f>SUM($C384:C384)/$B$356</f>
        <v>2.755196325000009</v>
      </c>
      <c r="D388" s="26">
        <f>SUM($C384:D384)/$B$356</f>
        <v>2.755196325000009</v>
      </c>
      <c r="E388" s="26">
        <f>SUM($C384:E384)/$B$356</f>
        <v>2.755196325000009</v>
      </c>
      <c r="F388" s="26">
        <f>SUM($C384:F384)/$B$356</f>
        <v>1.460599815563626</v>
      </c>
      <c r="G388" s="26">
        <f>SUM($C384:G384)/$B$356</f>
        <v>1.460599815563626</v>
      </c>
      <c r="H388" s="26">
        <f>SUM($C384:H384)/$B$356</f>
        <v>1.460599815563626</v>
      </c>
      <c r="I388" s="26">
        <f>SUM($C384:I384)/$B$356</f>
        <v>0.8411813073902653</v>
      </c>
      <c r="J388" s="26">
        <f>SUM($C384:J384)/$B$356</f>
        <v>0.5109720273902654</v>
      </c>
      <c r="K388" s="26">
        <f>SUM($C384:K384)/$B$356</f>
        <v>0.5109720273902654</v>
      </c>
      <c r="L388" s="26">
        <f>SUM($C384:L384)/$B$356</f>
        <v>-0.00455429993732686</v>
      </c>
      <c r="M388" s="26">
        <f>SUM($C384:M384)/$B$356</f>
        <v>-0.00455429993732686</v>
      </c>
      <c r="N388" s="26">
        <f>SUM($C384:N384)/$B$356</f>
        <v>-0.2026798679373268</v>
      </c>
      <c r="O388" s="26">
        <f>SUM($C384:O384)/$B$356</f>
        <v>-0.6317393659358816</v>
      </c>
      <c r="P388" s="26">
        <f>SUM($C384:P384)/$B$356</f>
        <v>-0.6317393659358816</v>
      </c>
      <c r="Q388" s="26">
        <f>SUM($C384:Q384)/$B$356</f>
        <v>-0.6317393659358816</v>
      </c>
      <c r="R388" s="26">
        <f>SUM($C384:R384)/$B$356</f>
        <v>-1.1077100538873572</v>
      </c>
      <c r="S388" s="26">
        <f>SUM($C384:S384)/$B$356</f>
        <v>-1.1077100538873572</v>
      </c>
      <c r="T388" s="26">
        <f>SUM($C384:T384)/$B$356</f>
        <v>-1.1077100538873572</v>
      </c>
      <c r="U388" s="26">
        <f>SUM($C384:U384)/$B$356</f>
        <v>-1.4049114619719358</v>
      </c>
      <c r="V388" s="26">
        <f>SUM($C384:V384)/$B$356</f>
        <v>-1.476236666451936</v>
      </c>
      <c r="W388" s="26">
        <f>SUM($C384:W384)/$B$356</f>
        <v>-1.476236666451936</v>
      </c>
      <c r="X388" s="26">
        <f>SUM($C384:X384)/$B$356</f>
        <v>-1.7235898668563876</v>
      </c>
      <c r="Y388" s="26">
        <f>SUM($C384:Y384)/$B$356</f>
        <v>-1.7235898668563876</v>
      </c>
      <c r="Z388" s="26">
        <f>SUM($C384:Z384)/$B$356</f>
        <v>-1.7663849895443877</v>
      </c>
    </row>
    <row r="389">
      <c r="A389" s="3" t="inlineStr">
        <is>
          <t>Gross revenue (reference only - NOT used for LTV)</t>
        </is>
      </c>
      <c r="B389" s="30">
        <f>SUM(C389:Z389)</f>
        <v>7115.253052787152</v>
      </c>
      <c r="C389" s="50">
        <f>IF(C$378=1,$B$356*$B$374,0)+C379*$B$375+C380*$B$376</f>
        <v>5498.75</v>
      </c>
      <c r="D389" s="50">
        <f>IF(D$378=1,$B$356*$B$374,0)+D379*$B$375+D380*$B$376</f>
        <v>0.0</v>
      </c>
      <c r="E389" s="50">
        <f>IF(E$378=1,$B$356*$B$374,0)+E379*$B$375+E380*$B$376</f>
        <v>0.0</v>
      </c>
      <c r="F389" s="50">
        <f>IF(F$378=1,$B$356*$B$374,0)+F379*$B$375+F380*$B$376</f>
        <v>496.42197298280496</v>
      </c>
      <c r="G389" s="50">
        <f>IF(G$378=1,$B$356*$B$374,0)+G379*$B$375+G380*$B$376</f>
        <v>0.0</v>
      </c>
      <c r="H389" s="50">
        <f>IF(H$378=1,$B$356*$B$374,0)+H379*$B$375+H380*$B$376</f>
        <v>0.0</v>
      </c>
      <c r="I389" s="50">
        <f>IF(I$378=1,$B$356*$B$374,0)+I379*$B$375+I380*$B$376</f>
        <v>186.91388485829114</v>
      </c>
      <c r="J389" s="50">
        <f>IF(J$378=1,$B$356*$B$374,0)+J379*$B$375+J380*$B$376</f>
        <v>163.10399999999998</v>
      </c>
      <c r="K389" s="50">
        <f>IF(K$378=1,$B$356*$B$374,0)+K379*$B$375+K380*$B$376</f>
        <v>0.0</v>
      </c>
      <c r="L389" s="50">
        <f>IF(L$378=1,$B$356*$B$374,0)+L379*$B$375+L380*$B$376</f>
        <v>155.56368967999688</v>
      </c>
      <c r="M389" s="50">
        <f>IF(M$378=1,$B$356*$B$374,0)+M379*$B$375+M380*$B$376</f>
        <v>0.0</v>
      </c>
      <c r="N389" s="50">
        <f>IF(N$378=1,$B$356*$B$374,0)+N379*$B$375+N380*$B$376</f>
        <v>97.8624</v>
      </c>
      <c r="O389" s="50">
        <f>IF(O$378=1,$B$356*$B$374,0)+O379*$B$375+O380*$B$376</f>
        <v>129.47171669564122</v>
      </c>
      <c r="P389" s="50">
        <f>IF(P$378=1,$B$356*$B$374,0)+P379*$B$375+P380*$B$376</f>
        <v>0.0</v>
      </c>
      <c r="Q389" s="50">
        <f>IF(Q$378=1,$B$356*$B$374,0)+Q379*$B$375+Q380*$B$376</f>
        <v>0.0</v>
      </c>
      <c r="R389" s="50">
        <f>IF(R$378=1,$B$356*$B$374,0)+R379*$B$375+R380*$B$376</f>
        <v>166.47346879179995</v>
      </c>
      <c r="S389" s="50">
        <f>IF(S$378=1,$B$356*$B$374,0)+S379*$B$375+S380*$B$376</f>
        <v>0.0</v>
      </c>
      <c r="T389" s="50">
        <f>IF(T$378=1,$B$356*$B$374,0)+T379*$B$375+T380*$B$376</f>
        <v>0.0</v>
      </c>
      <c r="U389" s="50">
        <f>IF(U$378=1,$B$356*$B$374,0)+U379*$B$375+U380*$B$376</f>
        <v>89.68261205862368</v>
      </c>
      <c r="V389" s="50">
        <f>IF(V$378=1,$B$356*$B$374,0)+V379*$B$375+V380*$B$376</f>
        <v>35.230464</v>
      </c>
      <c r="W389" s="50">
        <f>IF(W$378=1,$B$356*$B$374,0)+W379*$B$375+W380*$B$376</f>
        <v>0.0</v>
      </c>
      <c r="X389" s="50">
        <f>IF(X$378=1,$B$356*$B$374,0)+X379*$B$375+X380*$B$376</f>
        <v>74.64056531999488</v>
      </c>
      <c r="Y389" s="50">
        <f>IF(Y$378=1,$B$356*$B$374,0)+Y379*$B$375+Y380*$B$376</f>
        <v>0.0</v>
      </c>
      <c r="Z389" s="50">
        <f>IF(Z$378=1,$B$356*$B$374,0)+Z379*$B$375+Z380*$B$376</f>
        <v>21.138278399999994</v>
      </c>
    </row>
    <row r="390">
      <c r="A390" s="3" t="inlineStr">
        <is>
          <t>Payback helper (month if cumulative &gt;= 0, else 99)</t>
        </is>
      </c>
      <c r="C390" s="51">
        <f>IF(C387&gt;=0,C$378,99)</f>
        <v>99.0</v>
      </c>
      <c r="D390" s="51">
        <f>IF(D387&gt;=0,D$378,99)</f>
        <v>99.0</v>
      </c>
      <c r="E390" s="51">
        <f>IF(E387&gt;=0,E$378,99)</f>
        <v>99.0</v>
      </c>
      <c r="F390" s="51">
        <f>IF(F387&gt;=0,F$378,99)</f>
        <v>99.0</v>
      </c>
      <c r="G390" s="51">
        <f>IF(G387&gt;=0,G$378,99)</f>
        <v>99.0</v>
      </c>
      <c r="H390" s="51">
        <f>IF(H387&gt;=0,H$378,99)</f>
        <v>99.0</v>
      </c>
      <c r="I390" s="51">
        <f>IF(I387&gt;=0,I$378,99)</f>
        <v>99.0</v>
      </c>
      <c r="J390" s="51">
        <f>IF(J387&gt;=0,J$378,99)</f>
        <v>99.0</v>
      </c>
      <c r="K390" s="51">
        <f>IF(K387&gt;=0,K$378,99)</f>
        <v>99.0</v>
      </c>
      <c r="L390" s="51">
        <f>IF(L387&gt;=0,L$378,99)</f>
        <v>99.0</v>
      </c>
      <c r="M390" s="51">
        <f>IF(M387&gt;=0,M$378,99)</f>
        <v>99.0</v>
      </c>
      <c r="N390" s="51">
        <f>IF(N387&gt;=0,N$378,99)</f>
        <v>99.0</v>
      </c>
      <c r="O390" s="51">
        <f>IF(O387&gt;=0,O$378,99)</f>
        <v>99.0</v>
      </c>
      <c r="P390" s="51">
        <f>IF(P387&gt;=0,P$378,99)</f>
        <v>99.0</v>
      </c>
      <c r="Q390" s="51">
        <f>IF(Q387&gt;=0,Q$378,99)</f>
        <v>99.0</v>
      </c>
      <c r="R390" s="51">
        <f>IF(R387&gt;=0,R$378,99)</f>
        <v>99.0</v>
      </c>
      <c r="S390" s="51">
        <f>IF(S387&gt;=0,S$378,99)</f>
        <v>99.0</v>
      </c>
      <c r="T390" s="51">
        <f>IF(T387&gt;=0,T$378,99)</f>
        <v>99.0</v>
      </c>
      <c r="U390" s="51">
        <f>IF(U387&gt;=0,U$378,99)</f>
        <v>99.0</v>
      </c>
      <c r="V390" s="51">
        <f>IF(V387&gt;=0,V$378,99)</f>
        <v>99.0</v>
      </c>
      <c r="W390" s="51">
        <f>IF(W387&gt;=0,W$378,99)</f>
        <v>99.0</v>
      </c>
      <c r="X390" s="51">
        <f>IF(X387&gt;=0,X$378,99)</f>
        <v>99.0</v>
      </c>
      <c r="Y390" s="51">
        <f>IF(Y387&gt;=0,Y$378,99)</f>
        <v>99.0</v>
      </c>
      <c r="Z390" s="51">
        <f>IF(Z387&gt;=0,Z$378,99)</f>
        <v>99.0</v>
      </c>
    </row>
    <row r="392">
      <c r="A392" s="16" t="inlineStr">
        <is>
          <t>FIRST-ORDER contribution before ads, per customer</t>
        </is>
      </c>
      <c r="B392" s="42">
        <f>$B$362</f>
        <v>2.755196325000009</v>
      </c>
    </row>
    <row r="393">
      <c r="A393" s="16" t="inlineStr">
        <is>
          <t>FIRST-ORDER contribution after CAC, per customer</t>
        </is>
      </c>
      <c r="B393" s="42">
        <f>$B$362-$B$363</f>
        <v>-42.24480367499999</v>
      </c>
    </row>
    <row r="394">
      <c r="A394" s="16" t="inlineStr">
        <is>
          <t>Is the first order profitable after CAC?</t>
        </is>
      </c>
      <c r="B394" s="52" t="str">
        <f>IF(B393&gt;=0,"YES - first order covers CAC","NO - first order loses money after CAC")</f>
        <v>NO - first order loses money after CAC</v>
      </c>
    </row>
    <row r="395">
      <c r="A395" s="3" t="inlineStr">
        <is>
          <t>Payback month (numeric; 99 = none within 24 months)</t>
        </is>
      </c>
      <c r="B395" s="41">
        <f>MIN(C390:Z390)</f>
        <v>99.0</v>
      </c>
    </row>
    <row r="396">
      <c r="A396" s="16" t="inlineStr">
        <is>
          <t>Payback (display)</t>
        </is>
      </c>
      <c r="B396" s="52" t="str">
        <f>IF(B395&gt;24,"No payback within 24 months","Month "&amp;B395)</f>
        <v>No payback within 24 months</v>
      </c>
    </row>
    <row r="397">
      <c r="A397" s="16" t="inlineStr">
        <is>
          <t>12-month contribution LTV per customer (before CAC)</t>
        </is>
      </c>
      <c r="B397" s="42">
        <f>SUM(C384:N384)/$B$356</f>
        <v>-0.2026798679373268</v>
      </c>
    </row>
    <row r="398">
      <c r="A398" s="16" t="inlineStr">
        <is>
          <t>24-month contribution LTV per customer (before CAC)</t>
        </is>
      </c>
      <c r="B398" s="42">
        <f>SUM(C384:Z384)/$B$356</f>
        <v>-1.7663849895443877</v>
      </c>
    </row>
    <row r="399">
      <c r="A399" s="16" t="inlineStr">
        <is>
          <t>12-month contribution LTV net of CAC</t>
        </is>
      </c>
      <c r="B399" s="42">
        <f>B397-$B$363</f>
        <v>-45.20267986793733</v>
      </c>
    </row>
    <row r="400">
      <c r="A400" s="3" t="inlineStr">
        <is>
          <t>24-month contribution LTV net of CAC</t>
        </is>
      </c>
      <c r="B400" s="26">
        <f>B398-$B$363</f>
        <v>-46.766384989544385</v>
      </c>
    </row>
    <row r="401">
      <c r="A401" s="16" t="inlineStr">
        <is>
          <t>12-month LTV:CAC (contribution basis)</t>
        </is>
      </c>
      <c r="B401" s="53">
        <f>IFERROR(B397/$B$363,0)</f>
        <v>-0.0045039970652739295</v>
      </c>
    </row>
    <row r="402">
      <c r="A402" s="3" t="inlineStr">
        <is>
          <t>24-month LTV:CAC</t>
        </is>
      </c>
      <c r="B402" s="37">
        <f>IFERROR(B398/$B$363,0)</f>
        <v>-0.03925299976765306</v>
      </c>
    </row>
    <row r="403">
      <c r="A403" s="3" t="inlineStr">
        <is>
          <t>12-month LTV : blended CAC (info only)</t>
        </is>
      </c>
      <c r="B403" s="37">
        <f>IFERROR(B397/($B$363*Inputs!$E$121),0)</f>
        <v>-0.005298820076792858</v>
      </c>
    </row>
    <row r="404">
      <c r="A404" s="3" t="inlineStr">
        <is>
          <t>Cohort contribution from subscription renewals, months 1-24</t>
        </is>
      </c>
      <c r="B404" s="33">
        <f>B379*$B$364</f>
        <v>-320.9901998576397</v>
      </c>
    </row>
    <row r="405">
      <c r="A405" s="3" t="inlineStr">
        <is>
          <t>Renewal contribution per subscriber, 12 months</t>
        </is>
      </c>
      <c r="B405" s="26">
        <f>IFERROR(SUM(C379:N379)*$B$364/$B$359,0)</f>
        <v>-9.395962724686681</v>
      </c>
    </row>
    <row r="406">
      <c r="A406" s="3" t="inlineStr">
        <is>
          <t>Repeat contribution per occasional buyer, 12 months</t>
        </is>
      </c>
      <c r="B406" s="26">
        <f>IFERROR(SUM(C380:N380)*$B$365/$B$360,0)</f>
        <v>-6.741772799999998</v>
      </c>
    </row>
    <row r="407">
      <c r="A407" s="3" t="inlineStr">
        <is>
          <t>Orders per acquired customer, 12 months</t>
        </is>
      </c>
      <c r="B407" s="11">
        <f>($B$356+SUM(C379:N379)+SUM(C380:N380))/$B$356</f>
        <v>1.6844452995363894</v>
      </c>
    </row>
    <row r="408">
      <c r="A408" s="3" t="inlineStr">
        <is>
          <t>Renewal contribution per subscriber, 24 months</t>
        </is>
      </c>
      <c r="B408" s="26">
        <f>IFERROR(SUM(C379:Z379)*$B$364/$B$359,0)</f>
        <v>-16.049509992881987</v>
      </c>
    </row>
    <row r="409">
      <c r="A409" s="3" t="inlineStr">
        <is>
          <t>Repeat contribution per occasional buyer, 24 months</t>
        </is>
      </c>
      <c r="B409" s="26">
        <f>IFERROR(SUM(C380:Z380)*$B$365/$B$360,0)</f>
        <v>-8.197995724799997</v>
      </c>
    </row>
    <row r="412">
      <c r="A412" s="43" t="inlineStr">
        <is>
          <t>Engine cohort: BASE + subscription-attach shock (sensitivity)</t>
        </is>
      </c>
      <c r="B412" s="44" t="n"/>
      <c r="C412" s="44" t="n"/>
      <c r="D412" s="44" t="n"/>
      <c r="E412" s="44" t="n"/>
      <c r="F412" s="44" t="n"/>
      <c r="G412" s="44" t="n"/>
      <c r="H412" s="44" t="n"/>
      <c r="I412" s="44" t="n"/>
      <c r="J412" s="44" t="n"/>
      <c r="K412" s="44" t="n"/>
      <c r="L412" s="44" t="n"/>
      <c r="M412" s="44" t="n"/>
      <c r="N412" s="44" t="n"/>
      <c r="O412" s="44" t="n"/>
      <c r="P412" s="44" t="n"/>
      <c r="Q412" s="44" t="n"/>
      <c r="R412" s="44" t="n"/>
      <c r="S412" s="44" t="n"/>
      <c r="T412" s="44" t="n"/>
      <c r="U412" s="44" t="n"/>
      <c r="V412" s="44" t="n"/>
      <c r="W412" s="44" t="n"/>
      <c r="X412" s="44" t="n"/>
      <c r="Y412" s="44" t="n"/>
      <c r="Z412" s="44" t="n"/>
    </row>
    <row r="414">
      <c r="A414" s="3" t="inlineStr">
        <is>
          <t>Customers acquired (N)</t>
        </is>
      </c>
      <c r="B414" s="12">
        <f>Inputs!$E$9</f>
        <v>100.0</v>
      </c>
    </row>
    <row r="415">
      <c r="A415" s="3" t="inlineStr">
        <is>
          <t>Subscription attach (after any shock)</t>
        </is>
      </c>
      <c r="B415" s="34">
        <f>MIN(1,Inputs!$E$133*Cat_UnitEcon!$AR$10)</f>
        <v>0.1</v>
      </c>
    </row>
    <row r="416">
      <c r="A416" s="3" t="inlineStr">
        <is>
          <t>Non-subscriber 12-month repeat rate</t>
        </is>
      </c>
      <c r="B416" s="45">
        <f>Inputs!$E$139</f>
        <v>0.2</v>
      </c>
    </row>
    <row r="417">
      <c r="A417" s="3" t="inlineStr">
        <is>
          <t>Segment: subscribers</t>
        </is>
      </c>
      <c r="B417" s="46">
        <f>$B$414*$B$415</f>
        <v>10.0</v>
      </c>
    </row>
    <row r="418">
      <c r="A418" s="3" t="inlineStr">
        <is>
          <t>Segment: occasional repeat buyers</t>
        </is>
      </c>
      <c r="B418" s="46">
        <f>$B$414*(1-$B$415)*$B$416</f>
        <v>18.0</v>
      </c>
    </row>
    <row r="419">
      <c r="A419" s="3" t="inlineStr">
        <is>
          <t>Segment: one-time only</t>
        </is>
      </c>
      <c r="B419" s="46">
        <f>$B$414-$B$417-$B$418</f>
        <v>72.0</v>
      </c>
    </row>
    <row r="420">
      <c r="A420" s="3" t="inlineStr">
        <is>
          <t>First-order contribution before ads, per customer (mix)</t>
        </is>
      </c>
      <c r="B420" s="39">
        <f>Cat_UnitEcon!$AR$57</f>
        <v>4.999196325000007</v>
      </c>
    </row>
    <row r="421">
      <c r="A421" s="3" t="inlineStr">
        <is>
          <t>Paid CAC per new customer</t>
        </is>
      </c>
      <c r="B421" s="39">
        <f>Cat_UnitEcon!$AR$60</f>
        <v>45.0</v>
      </c>
    </row>
    <row r="422">
      <c r="A422" s="3" t="inlineStr">
        <is>
          <t>Contribution per subscription renewal order</t>
        </is>
      </c>
      <c r="B422" s="39">
        <f>Cat_UnitEcon!$AU$50</f>
        <v>-3.419322000000001</v>
      </c>
    </row>
    <row r="423">
      <c r="A423" s="3" t="inlineStr">
        <is>
          <t>Contribution per occasional repeat order</t>
        </is>
      </c>
      <c r="B423" s="39">
        <f>Cat_UnitEcon!$AV$50</f>
        <v>-1.7916799999999995</v>
      </c>
    </row>
    <row r="424">
      <c r="A424" s="3" t="inlineStr">
        <is>
          <t>Churn before first renewal (incl. involuntary)</t>
        </is>
      </c>
      <c r="B424" s="34">
        <f>1-(1-MIN(1,Inputs!$E$135*Cat_UnitEcon!$AR$11))*(1-MIN(1,Inputs!$E$137*Cat_UnitEcon!$AR$11))^$B$426</f>
        <v>0.26564000725000003</v>
      </c>
    </row>
    <row r="425">
      <c r="A425" s="3" t="inlineStr">
        <is>
          <t>Churn per later cycle (incl. involuntary)</t>
        </is>
      </c>
      <c r="B425" s="34">
        <f>1-(1-MIN(1,Inputs!$E$136*Cat_UnitEcon!$AR$11))*(1-MIN(1,Inputs!$E$137*Cat_UnitEcon!$AR$11))^$B$426</f>
        <v>0.16772534154999996</v>
      </c>
    </row>
    <row r="426">
      <c r="A426" s="3" t="inlineStr">
        <is>
          <t>Renewal cadence (months)</t>
        </is>
      </c>
      <c r="B426" s="12">
        <f>Inputs!$E$134</f>
        <v>3.0</v>
      </c>
    </row>
    <row r="427">
      <c r="A427" s="3" t="inlineStr">
        <is>
          <t>Occasional: month of first repeat</t>
        </is>
      </c>
      <c r="B427" s="12">
        <f>Inputs!$E$140</f>
        <v>4.0</v>
      </c>
    </row>
    <row r="428">
      <c r="A428" s="3" t="inlineStr">
        <is>
          <t>Occasional: months between orders</t>
        </is>
      </c>
      <c r="B428" s="12">
        <f>Inputs!$E$141</f>
        <v>4.0</v>
      </c>
    </row>
    <row r="429">
      <c r="A429" s="3" t="inlineStr">
        <is>
          <t>Occasional: probability of each further order</t>
        </is>
      </c>
      <c r="B429" s="45">
        <f>Inputs!$E$142</f>
        <v>0.6</v>
      </c>
    </row>
    <row r="430">
      <c r="A430" s="3" t="inlineStr">
        <is>
          <t>First-order contribution - subscriber</t>
        </is>
      </c>
      <c r="B430" s="39">
        <f>Cat_UnitEcon!$AR$63</f>
        <v>4.999196325000007</v>
      </c>
    </row>
    <row r="431">
      <c r="A431" s="3" t="inlineStr">
        <is>
          <t>First-order contribution - non-subscriber</t>
        </is>
      </c>
      <c r="B431" s="39">
        <f>Cat_UnitEcon!$AR$64</f>
        <v>4.999196325000007</v>
      </c>
    </row>
    <row r="432">
      <c r="A432" s="3" t="inlineStr">
        <is>
          <t>First-order gross revenue (mix) - reference</t>
        </is>
      </c>
      <c r="B432" s="39">
        <f>Cat_UnitEcon!$AR$59</f>
        <v>54.9875</v>
      </c>
    </row>
    <row r="433">
      <c r="A433" s="3" t="inlineStr">
        <is>
          <t>Renewal order gross revenue - reference</t>
        </is>
      </c>
      <c r="B433" s="39">
        <f>Cat_UnitEcon!$AU$35</f>
        <v>15.290999999999999</v>
      </c>
    </row>
    <row r="434">
      <c r="A434" s="3" t="inlineStr">
        <is>
          <t>Occasional order gross revenue - reference</t>
        </is>
      </c>
      <c r="B434" s="39">
        <f>Cat_UnitEcon!$AV$35</f>
        <v>16.99</v>
      </c>
    </row>
    <row r="436">
      <c r="A436" s="4" t="inlineStr">
        <is>
          <t>Month</t>
        </is>
      </c>
      <c r="B436" s="4" t="inlineStr">
        <is>
          <t>Total 1-24</t>
        </is>
      </c>
      <c r="C436" s="47" t="n">
        <v>1</v>
      </c>
      <c r="D436" s="47" t="n">
        <v>2</v>
      </c>
      <c r="E436" s="47" t="n">
        <v>3</v>
      </c>
      <c r="F436" s="47" t="n">
        <v>4</v>
      </c>
      <c r="G436" s="47" t="n">
        <v>5</v>
      </c>
      <c r="H436" s="47" t="n">
        <v>6</v>
      </c>
      <c r="I436" s="47" t="n">
        <v>7</v>
      </c>
      <c r="J436" s="47" t="n">
        <v>8</v>
      </c>
      <c r="K436" s="47" t="n">
        <v>9</v>
      </c>
      <c r="L436" s="47" t="n">
        <v>10</v>
      </c>
      <c r="M436" s="47" t="n">
        <v>11</v>
      </c>
      <c r="N436" s="47" t="n">
        <v>12</v>
      </c>
      <c r="O436" s="47" t="n">
        <v>13</v>
      </c>
      <c r="P436" s="47" t="n">
        <v>14</v>
      </c>
      <c r="Q436" s="47" t="n">
        <v>15</v>
      </c>
      <c r="R436" s="47" t="n">
        <v>16</v>
      </c>
      <c r="S436" s="47" t="n">
        <v>17</v>
      </c>
      <c r="T436" s="47" t="n">
        <v>18</v>
      </c>
      <c r="U436" s="47" t="n">
        <v>19</v>
      </c>
      <c r="V436" s="47" t="n">
        <v>20</v>
      </c>
      <c r="W436" s="47" t="n">
        <v>21</v>
      </c>
      <c r="X436" s="47" t="n">
        <v>22</v>
      </c>
      <c r="Y436" s="47" t="n">
        <v>23</v>
      </c>
      <c r="Z436" s="47" t="n">
        <v>24</v>
      </c>
    </row>
    <row r="437">
      <c r="A437" s="3" t="inlineStr">
        <is>
          <t>Subscription renewal orders (paying subscribers)</t>
        </is>
      </c>
      <c r="B437" s="48">
        <f>SUM(C437:Z437)</f>
        <v>31.672567863029</v>
      </c>
      <c r="C437" s="46">
        <f>IF(AND(C$436&gt;1,MOD(C$436-1,$B$426)=0),$B$417*(1-$B$424)*(1-$B$425)^((C$436-1)/$B$426-1),0)</f>
        <v>0.0</v>
      </c>
      <c r="D437" s="46">
        <f>IF(AND(D$436&gt;1,MOD(D$436-1,$B$426)=0),$B$417*(1-$B$424)*(1-$B$425)^((D$436-1)/$B$426-1),0)</f>
        <v>0.0</v>
      </c>
      <c r="E437" s="46">
        <f>IF(AND(E$436&gt;1,MOD(E$436-1,$B$426)=0),$B$417*(1-$B$424)*(1-$B$425)^((E$436-1)/$B$426-1),0)</f>
        <v>0.0</v>
      </c>
      <c r="F437" s="46">
        <f>IF(AND(F$436&gt;1,MOD(F$436-1,$B$426)=0),$B$417*(1-$B$424)*(1-$B$425)^((F$436-1)/$B$426-1),0)</f>
        <v>7.3435999275</v>
      </c>
      <c r="G437" s="46">
        <f>IF(AND(G$436&gt;1,MOD(G$436-1,$B$426)=0),$B$417*(1-$B$424)*(1-$B$425)^((G$436-1)/$B$426-1),0)</f>
        <v>0.0</v>
      </c>
      <c r="H437" s="46">
        <f>IF(AND(H$436&gt;1,MOD(H$436-1,$B$426)=0),$B$417*(1-$B$424)*(1-$B$425)^((H$436-1)/$B$426-1),0)</f>
        <v>0.0</v>
      </c>
      <c r="I437" s="46">
        <f>IF(AND(I$436&gt;1,MOD(I$436-1,$B$426)=0),$B$417*(1-$B$424)*(1-$B$425)^((I$436-1)/$B$426-1),0)</f>
        <v>6.111892121453507</v>
      </c>
      <c r="J437" s="46">
        <f>IF(AND(J$436&gt;1,MOD(J$436-1,$B$426)=0),$B$417*(1-$B$424)*(1-$B$425)^((J$436-1)/$B$426-1),0)</f>
        <v>0.0</v>
      </c>
      <c r="K437" s="46">
        <f>IF(AND(K$436&gt;1,MOD(K$436-1,$B$426)=0),$B$417*(1-$B$424)*(1-$B$425)^((K$436-1)/$B$426-1),0)</f>
        <v>0.0</v>
      </c>
      <c r="L437" s="46">
        <f>IF(AND(L$436&gt;1,MOD(L$436-1,$B$426)=0),$B$417*(1-$B$424)*(1-$B$425)^((L$436-1)/$B$426-1),0)</f>
        <v>5.0867729278659635</v>
      </c>
      <c r="M437" s="46">
        <f>IF(AND(M$436&gt;1,MOD(M$436-1,$B$426)=0),$B$417*(1-$B$424)*(1-$B$425)^((M$436-1)/$B$426-1),0)</f>
        <v>0.0</v>
      </c>
      <c r="N437" s="46">
        <f>IF(AND(N$436&gt;1,MOD(N$436-1,$B$426)=0),$B$417*(1-$B$424)*(1-$B$425)^((N$436-1)/$B$426-1),0)</f>
        <v>0.0</v>
      </c>
      <c r="O437" s="46">
        <f>IF(AND(O$436&gt;1,MOD(O$436-1,$B$426)=0),$B$417*(1-$B$424)*(1-$B$425)^((O$436-1)/$B$426-1),0)</f>
        <v>4.233592201152352</v>
      </c>
      <c r="P437" s="46">
        <f>IF(AND(P$436&gt;1,MOD(P$436-1,$B$426)=0),$B$417*(1-$B$424)*(1-$B$425)^((P$436-1)/$B$426-1),0)</f>
        <v>0.0</v>
      </c>
      <c r="Q437" s="46">
        <f>IF(AND(Q$436&gt;1,MOD(Q$436-1,$B$426)=0),$B$417*(1-$B$424)*(1-$B$425)^((Q$436-1)/$B$426-1),0)</f>
        <v>0.0</v>
      </c>
      <c r="R437" s="46">
        <f>IF(AND(R$436&gt;1,MOD(R$436-1,$B$426)=0),$B$417*(1-$B$424)*(1-$B$425)^((R$436-1)/$B$426-1),0)</f>
        <v>3.523511503230657</v>
      </c>
      <c r="S437" s="46">
        <f>IF(AND(S$436&gt;1,MOD(S$436-1,$B$426)=0),$B$417*(1-$B$424)*(1-$B$425)^((S$436-1)/$B$426-1),0)</f>
        <v>0.0</v>
      </c>
      <c r="T437" s="46">
        <f>IF(AND(T$436&gt;1,MOD(T$436-1,$B$426)=0),$B$417*(1-$B$424)*(1-$B$425)^((T$436-1)/$B$426-1),0)</f>
        <v>0.0</v>
      </c>
      <c r="U437" s="46">
        <f>IF(AND(U$436&gt;1,MOD(U$436-1,$B$426)=0),$B$417*(1-$B$424)*(1-$B$425)^((U$436-1)/$B$426-1),0)</f>
        <v>2.9325293328959416</v>
      </c>
      <c r="V437" s="46">
        <f>IF(AND(V$436&gt;1,MOD(V$436-1,$B$426)=0),$B$417*(1-$B$424)*(1-$B$425)^((V$436-1)/$B$426-1),0)</f>
        <v>0.0</v>
      </c>
      <c r="W437" s="46">
        <f>IF(AND(W$436&gt;1,MOD(W$436-1,$B$426)=0),$B$417*(1-$B$424)*(1-$B$425)^((W$436-1)/$B$426-1),0)</f>
        <v>0.0</v>
      </c>
      <c r="X437" s="46">
        <f>IF(AND(X$436&gt;1,MOD(X$436-1,$B$426)=0),$B$417*(1-$B$424)*(1-$B$425)^((X$436-1)/$B$426-1),0)</f>
        <v>2.4406698489305763</v>
      </c>
      <c r="Y437" s="46">
        <f>IF(AND(Y$436&gt;1,MOD(Y$436-1,$B$426)=0),$B$417*(1-$B$424)*(1-$B$425)^((Y$436-1)/$B$426-1),0)</f>
        <v>0.0</v>
      </c>
      <c r="Z437" s="46">
        <f>IF(AND(Z$436&gt;1,MOD(Z$436-1,$B$426)=0),$B$417*(1-$B$424)*(1-$B$425)^((Z$436-1)/$B$426-1),0)</f>
        <v>0.0</v>
      </c>
    </row>
    <row r="438">
      <c r="A438" s="3" t="inlineStr">
        <is>
          <t>Occasional repeat orders</t>
        </is>
      </c>
      <c r="B438" s="48">
        <f>SUM(C438:Z438)</f>
        <v>42.900479999999995</v>
      </c>
      <c r="C438" s="46">
        <f>IF(AND(C$436&gt;=$B$427,MOD(C$436-$B$427,$B$428)=0),$B$418*$B$429^((C$436-$B$427)/$B$428),0)</f>
        <v>0.0</v>
      </c>
      <c r="D438" s="46">
        <f>IF(AND(D$436&gt;=$B$427,MOD(D$436-$B$427,$B$428)=0),$B$418*$B$429^((D$436-$B$427)/$B$428),0)</f>
        <v>0.0</v>
      </c>
      <c r="E438" s="46">
        <f>IF(AND(E$436&gt;=$B$427,MOD(E$436-$B$427,$B$428)=0),$B$418*$B$429^((E$436-$B$427)/$B$428),0)</f>
        <v>0.0</v>
      </c>
      <c r="F438" s="46">
        <f>IF(AND(F$436&gt;=$B$427,MOD(F$436-$B$427,$B$428)=0),$B$418*$B$429^((F$436-$B$427)/$B$428),0)</f>
        <v>18.0</v>
      </c>
      <c r="G438" s="46">
        <f>IF(AND(G$436&gt;=$B$427,MOD(G$436-$B$427,$B$428)=0),$B$418*$B$429^((G$436-$B$427)/$B$428),0)</f>
        <v>0.0</v>
      </c>
      <c r="H438" s="46">
        <f>IF(AND(H$436&gt;=$B$427,MOD(H$436-$B$427,$B$428)=0),$B$418*$B$429^((H$436-$B$427)/$B$428),0)</f>
        <v>0.0</v>
      </c>
      <c r="I438" s="46">
        <f>IF(AND(I$436&gt;=$B$427,MOD(I$436-$B$427,$B$428)=0),$B$418*$B$429^((I$436-$B$427)/$B$428),0)</f>
        <v>0.0</v>
      </c>
      <c r="J438" s="46">
        <f>IF(AND(J$436&gt;=$B$427,MOD(J$436-$B$427,$B$428)=0),$B$418*$B$429^((J$436-$B$427)/$B$428),0)</f>
        <v>10.799999999999999</v>
      </c>
      <c r="K438" s="46">
        <f>IF(AND(K$436&gt;=$B$427,MOD(K$436-$B$427,$B$428)=0),$B$418*$B$429^((K$436-$B$427)/$B$428),0)</f>
        <v>0.0</v>
      </c>
      <c r="L438" s="46">
        <f>IF(AND(L$436&gt;=$B$427,MOD(L$436-$B$427,$B$428)=0),$B$418*$B$429^((L$436-$B$427)/$B$428),0)</f>
        <v>0.0</v>
      </c>
      <c r="M438" s="46">
        <f>IF(AND(M$436&gt;=$B$427,MOD(M$436-$B$427,$B$428)=0),$B$418*$B$429^((M$436-$B$427)/$B$428),0)</f>
        <v>0.0</v>
      </c>
      <c r="N438" s="46">
        <f>IF(AND(N$436&gt;=$B$427,MOD(N$436-$B$427,$B$428)=0),$B$418*$B$429^((N$436-$B$427)/$B$428),0)</f>
        <v>6.4799999999999995</v>
      </c>
      <c r="O438" s="46">
        <f>IF(AND(O$436&gt;=$B$427,MOD(O$436-$B$427,$B$428)=0),$B$418*$B$429^((O$436-$B$427)/$B$428),0)</f>
        <v>0.0</v>
      </c>
      <c r="P438" s="46">
        <f>IF(AND(P$436&gt;=$B$427,MOD(P$436-$B$427,$B$428)=0),$B$418*$B$429^((P$436-$B$427)/$B$428),0)</f>
        <v>0.0</v>
      </c>
      <c r="Q438" s="46">
        <f>IF(AND(Q$436&gt;=$B$427,MOD(Q$436-$B$427,$B$428)=0),$B$418*$B$429^((Q$436-$B$427)/$B$428),0)</f>
        <v>0.0</v>
      </c>
      <c r="R438" s="46">
        <f>IF(AND(R$436&gt;=$B$427,MOD(R$436-$B$427,$B$428)=0),$B$418*$B$429^((R$436-$B$427)/$B$428),0)</f>
        <v>3.8879999999999995</v>
      </c>
      <c r="S438" s="46">
        <f>IF(AND(S$436&gt;=$B$427,MOD(S$436-$B$427,$B$428)=0),$B$418*$B$429^((S$436-$B$427)/$B$428),0)</f>
        <v>0.0</v>
      </c>
      <c r="T438" s="46">
        <f>IF(AND(T$436&gt;=$B$427,MOD(T$436-$B$427,$B$428)=0),$B$418*$B$429^((T$436-$B$427)/$B$428),0)</f>
        <v>0.0</v>
      </c>
      <c r="U438" s="46">
        <f>IF(AND(U$436&gt;=$B$427,MOD(U$436-$B$427,$B$428)=0),$B$418*$B$429^((U$436-$B$427)/$B$428),0)</f>
        <v>0.0</v>
      </c>
      <c r="V438" s="46">
        <f>IF(AND(V$436&gt;=$B$427,MOD(V$436-$B$427,$B$428)=0),$B$418*$B$429^((V$436-$B$427)/$B$428),0)</f>
        <v>2.3327999999999998</v>
      </c>
      <c r="W438" s="46">
        <f>IF(AND(W$436&gt;=$B$427,MOD(W$436-$B$427,$B$428)=0),$B$418*$B$429^((W$436-$B$427)/$B$428),0)</f>
        <v>0.0</v>
      </c>
      <c r="X438" s="46">
        <f>IF(AND(X$436&gt;=$B$427,MOD(X$436-$B$427,$B$428)=0),$B$418*$B$429^((X$436-$B$427)/$B$428),0)</f>
        <v>0.0</v>
      </c>
      <c r="Y438" s="46">
        <f>IF(AND(Y$436&gt;=$B$427,MOD(Y$436-$B$427,$B$428)=0),$B$418*$B$429^((Y$436-$B$427)/$B$428),0)</f>
        <v>0.0</v>
      </c>
      <c r="Z438" s="46">
        <f>IF(AND(Z$436&gt;=$B$427,MOD(Z$436-$B$427,$B$428)=0),$B$418*$B$429^((Z$436-$B$427)/$B$428),0)</f>
        <v>1.3996799999999996</v>
      </c>
    </row>
    <row r="439">
      <c r="A439" s="3" t="inlineStr">
        <is>
          <t>Contribution - one-time-only segment</t>
        </is>
      </c>
      <c r="B439" s="30">
        <f>SUM(C439:Z439)</f>
        <v>359.9421354000005</v>
      </c>
      <c r="C439" s="33">
        <f>IF(C$436=1,$B$419*$B$431,0)</f>
        <v>359.9421354000005</v>
      </c>
      <c r="D439" s="33">
        <f>IF(D$436=1,$B$419*$B$431,0)</f>
        <v>0.0</v>
      </c>
      <c r="E439" s="33">
        <f>IF(E$436=1,$B$419*$B$431,0)</f>
        <v>0.0</v>
      </c>
      <c r="F439" s="33">
        <f>IF(F$436=1,$B$419*$B$431,0)</f>
        <v>0.0</v>
      </c>
      <c r="G439" s="33">
        <f>IF(G$436=1,$B$419*$B$431,0)</f>
        <v>0.0</v>
      </c>
      <c r="H439" s="33">
        <f>IF(H$436=1,$B$419*$B$431,0)</f>
        <v>0.0</v>
      </c>
      <c r="I439" s="33">
        <f>IF(I$436=1,$B$419*$B$431,0)</f>
        <v>0.0</v>
      </c>
      <c r="J439" s="33">
        <f>IF(J$436=1,$B$419*$B$431,0)</f>
        <v>0.0</v>
      </c>
      <c r="K439" s="33">
        <f>IF(K$436=1,$B$419*$B$431,0)</f>
        <v>0.0</v>
      </c>
      <c r="L439" s="33">
        <f>IF(L$436=1,$B$419*$B$431,0)</f>
        <v>0.0</v>
      </c>
      <c r="M439" s="33">
        <f>IF(M$436=1,$B$419*$B$431,0)</f>
        <v>0.0</v>
      </c>
      <c r="N439" s="33">
        <f>IF(N$436=1,$B$419*$B$431,0)</f>
        <v>0.0</v>
      </c>
      <c r="O439" s="33">
        <f>IF(O$436=1,$B$419*$B$431,0)</f>
        <v>0.0</v>
      </c>
      <c r="P439" s="33">
        <f>IF(P$436=1,$B$419*$B$431,0)</f>
        <v>0.0</v>
      </c>
      <c r="Q439" s="33">
        <f>IF(Q$436=1,$B$419*$B$431,0)</f>
        <v>0.0</v>
      </c>
      <c r="R439" s="33">
        <f>IF(R$436=1,$B$419*$B$431,0)</f>
        <v>0.0</v>
      </c>
      <c r="S439" s="33">
        <f>IF(S$436=1,$B$419*$B$431,0)</f>
        <v>0.0</v>
      </c>
      <c r="T439" s="33">
        <f>IF(T$436=1,$B$419*$B$431,0)</f>
        <v>0.0</v>
      </c>
      <c r="U439" s="33">
        <f>IF(U$436=1,$B$419*$B$431,0)</f>
        <v>0.0</v>
      </c>
      <c r="V439" s="33">
        <f>IF(V$436=1,$B$419*$B$431,0)</f>
        <v>0.0</v>
      </c>
      <c r="W439" s="33">
        <f>IF(W$436=1,$B$419*$B$431,0)</f>
        <v>0.0</v>
      </c>
      <c r="X439" s="33">
        <f>IF(X$436=1,$B$419*$B$431,0)</f>
        <v>0.0</v>
      </c>
      <c r="Y439" s="33">
        <f>IF(Y$436=1,$B$419*$B$431,0)</f>
        <v>0.0</v>
      </c>
      <c r="Z439" s="33">
        <f>IF(Z$436=1,$B$419*$B$431,0)</f>
        <v>0.0</v>
      </c>
    </row>
    <row r="440">
      <c r="A440" s="3" t="inlineStr">
        <is>
          <t>Contribution - occasional repeat segment</t>
        </is>
      </c>
      <c r="B440" s="30">
        <f>SUM(C440:Z440)</f>
        <v>13.12160184360015</v>
      </c>
      <c r="C440" s="33">
        <f>IF(C$436=1,$B$418*$B$431,0)+C438*$B$423</f>
        <v>89.98553385000012</v>
      </c>
      <c r="D440" s="33">
        <f>IF(D$436=1,$B$418*$B$431,0)+D438*$B$423</f>
        <v>0.0</v>
      </c>
      <c r="E440" s="33">
        <f>IF(E$436=1,$B$418*$B$431,0)+E438*$B$423</f>
        <v>0.0</v>
      </c>
      <c r="F440" s="33">
        <f>IF(F$436=1,$B$418*$B$431,0)+F438*$B$423</f>
        <v>-32.25023999999999</v>
      </c>
      <c r="G440" s="33">
        <f>IF(G$436=1,$B$418*$B$431,0)+G438*$B$423</f>
        <v>0.0</v>
      </c>
      <c r="H440" s="33">
        <f>IF(H$436=1,$B$418*$B$431,0)+H438*$B$423</f>
        <v>0.0</v>
      </c>
      <c r="I440" s="33">
        <f>IF(I$436=1,$B$418*$B$431,0)+I438*$B$423</f>
        <v>0.0</v>
      </c>
      <c r="J440" s="33">
        <f>IF(J$436=1,$B$418*$B$431,0)+J438*$B$423</f>
        <v>-19.350143999999993</v>
      </c>
      <c r="K440" s="33">
        <f>IF(K$436=1,$B$418*$B$431,0)+K438*$B$423</f>
        <v>0.0</v>
      </c>
      <c r="L440" s="33">
        <f>IF(L$436=1,$B$418*$B$431,0)+L438*$B$423</f>
        <v>0.0</v>
      </c>
      <c r="M440" s="33">
        <f>IF(M$436=1,$B$418*$B$431,0)+M438*$B$423</f>
        <v>0.0</v>
      </c>
      <c r="N440" s="33">
        <f>IF(N$436=1,$B$418*$B$431,0)+N438*$B$423</f>
        <v>-11.610086399999997</v>
      </c>
      <c r="O440" s="33">
        <f>IF(O$436=1,$B$418*$B$431,0)+O438*$B$423</f>
        <v>0.0</v>
      </c>
      <c r="P440" s="33">
        <f>IF(P$436=1,$B$418*$B$431,0)+P438*$B$423</f>
        <v>0.0</v>
      </c>
      <c r="Q440" s="33">
        <f>IF(Q$436=1,$B$418*$B$431,0)+Q438*$B$423</f>
        <v>0.0</v>
      </c>
      <c r="R440" s="33">
        <f>IF(R$436=1,$B$418*$B$431,0)+R438*$B$423</f>
        <v>-6.966051839999997</v>
      </c>
      <c r="S440" s="33">
        <f>IF(S$436=1,$B$418*$B$431,0)+S438*$B$423</f>
        <v>0.0</v>
      </c>
      <c r="T440" s="33">
        <f>IF(T$436=1,$B$418*$B$431,0)+T438*$B$423</f>
        <v>0.0</v>
      </c>
      <c r="U440" s="33">
        <f>IF(U$436=1,$B$418*$B$431,0)+U438*$B$423</f>
        <v>0.0</v>
      </c>
      <c r="V440" s="33">
        <f>IF(V$436=1,$B$418*$B$431,0)+V438*$B$423</f>
        <v>-4.1796311039999985</v>
      </c>
      <c r="W440" s="33">
        <f>IF(W$436=1,$B$418*$B$431,0)+W438*$B$423</f>
        <v>0.0</v>
      </c>
      <c r="X440" s="33">
        <f>IF(X$436=1,$B$418*$B$431,0)+X438*$B$423</f>
        <v>0.0</v>
      </c>
      <c r="Y440" s="33">
        <f>IF(Y$436=1,$B$418*$B$431,0)+Y438*$B$423</f>
        <v>0.0</v>
      </c>
      <c r="Z440" s="33">
        <f>IF(Z$436=1,$B$418*$B$431,0)+Z438*$B$423</f>
        <v>-2.5077786623999985</v>
      </c>
    </row>
    <row r="441">
      <c r="A441" s="3" t="inlineStr">
        <is>
          <t>Contribution - subscriber segment</t>
        </is>
      </c>
      <c r="B441" s="30">
        <f>SUM(C441:Z441)</f>
        <v>-58.306744840548006</v>
      </c>
      <c r="C441" s="33">
        <f>IF(C$436=1,$B$417*$B$430,0)+C437*$B$422</f>
        <v>49.99196325000007</v>
      </c>
      <c r="D441" s="33">
        <f>IF(D$436=1,$B$417*$B$430,0)+D437*$B$422</f>
        <v>0.0</v>
      </c>
      <c r="E441" s="33">
        <f>IF(E$436=1,$B$417*$B$430,0)+E437*$B$422</f>
        <v>0.0</v>
      </c>
      <c r="F441" s="33">
        <f>IF(F$436=1,$B$417*$B$430,0)+F437*$B$422</f>
        <v>-25.11013279129916</v>
      </c>
      <c r="G441" s="33">
        <f>IF(G$436=1,$B$417*$B$430,0)+G437*$B$422</f>
        <v>0.0</v>
      </c>
      <c r="H441" s="33">
        <f>IF(H$436=1,$B$417*$B$430,0)+H437*$B$422</f>
        <v>0.0</v>
      </c>
      <c r="I441" s="33">
        <f>IF(I$436=1,$B$417*$B$430,0)+I437*$B$422</f>
        <v>-20.898527192512656</v>
      </c>
      <c r="J441" s="33">
        <f>IF(J$436=1,$B$417*$B$430,0)+J437*$B$422</f>
        <v>0.0</v>
      </c>
      <c r="K441" s="33">
        <f>IF(K$436=1,$B$417*$B$430,0)+K437*$B$422</f>
        <v>0.0</v>
      </c>
      <c r="L441" s="33">
        <f>IF(L$436=1,$B$417*$B$430,0)+L437*$B$422</f>
        <v>-17.393314581256508</v>
      </c>
      <c r="M441" s="33">
        <f>IF(M$436=1,$B$417*$B$430,0)+M437*$B$422</f>
        <v>0.0</v>
      </c>
      <c r="N441" s="33">
        <f>IF(N$436=1,$B$417*$B$430,0)+N437*$B$422</f>
        <v>0.0</v>
      </c>
      <c r="O441" s="33">
        <f>IF(O$436=1,$B$417*$B$430,0)+O437*$B$422</f>
        <v>-14.476014952428669</v>
      </c>
      <c r="P441" s="33">
        <f>IF(P$436=1,$B$417*$B$430,0)+P437*$B$422</f>
        <v>0.0</v>
      </c>
      <c r="Q441" s="33">
        <f>IF(Q$436=1,$B$417*$B$430,0)+Q437*$B$422</f>
        <v>0.0</v>
      </c>
      <c r="R441" s="33">
        <f>IF(R$436=1,$B$417*$B$430,0)+R437*$B$422</f>
        <v>-12.04802040024966</v>
      </c>
      <c r="S441" s="33">
        <f>IF(S$436=1,$B$417*$B$430,0)+S437*$B$422</f>
        <v>0.0</v>
      </c>
      <c r="T441" s="33">
        <f>IF(T$436=1,$B$417*$B$430,0)+T437*$B$422</f>
        <v>0.0</v>
      </c>
      <c r="U441" s="33">
        <f>IF(U$436=1,$B$417*$B$430,0)+U437*$B$422</f>
        <v>-10.027262063616421</v>
      </c>
      <c r="V441" s="33">
        <f>IF(V$436=1,$B$417*$B$430,0)+V437*$B$422</f>
        <v>0.0</v>
      </c>
      <c r="W441" s="33">
        <f>IF(W$436=1,$B$417*$B$430,0)+W437*$B$422</f>
        <v>0.0</v>
      </c>
      <c r="X441" s="33">
        <f>IF(X$436=1,$B$417*$B$430,0)+X437*$B$422</f>
        <v>-8.345436109184998</v>
      </c>
      <c r="Y441" s="33">
        <f>IF(Y$436=1,$B$417*$B$430,0)+Y437*$B$422</f>
        <v>0.0</v>
      </c>
      <c r="Z441" s="33">
        <f>IF(Z$436=1,$B$417*$B$430,0)+Z437*$B$422</f>
        <v>0.0</v>
      </c>
    </row>
    <row r="442">
      <c r="A442" s="16" t="inlineStr">
        <is>
          <t>Total contribution before CAC</t>
        </is>
      </c>
      <c r="B442" s="30">
        <f>SUM(C442:Z442)</f>
        <v>314.75699240305266</v>
      </c>
      <c r="C442" s="30">
        <f>SUM(C439:C441)</f>
        <v>499.9196325000007</v>
      </c>
      <c r="D442" s="30">
        <f>SUM(D439:D441)</f>
        <v>0.0</v>
      </c>
      <c r="E442" s="30">
        <f>SUM(E439:E441)</f>
        <v>0.0</v>
      </c>
      <c r="F442" s="30">
        <f>SUM(F439:F441)</f>
        <v>-57.360372791299156</v>
      </c>
      <c r="G442" s="30">
        <f>SUM(G439:G441)</f>
        <v>0.0</v>
      </c>
      <c r="H442" s="30">
        <f>SUM(H439:H441)</f>
        <v>0.0</v>
      </c>
      <c r="I442" s="30">
        <f>SUM(I439:I441)</f>
        <v>-20.898527192512656</v>
      </c>
      <c r="J442" s="30">
        <f>SUM(J439:J441)</f>
        <v>-19.350143999999993</v>
      </c>
      <c r="K442" s="30">
        <f>SUM(K439:K441)</f>
        <v>0.0</v>
      </c>
      <c r="L442" s="30">
        <f>SUM(L439:L441)</f>
        <v>-17.393314581256508</v>
      </c>
      <c r="M442" s="30">
        <f>SUM(M439:M441)</f>
        <v>0.0</v>
      </c>
      <c r="N442" s="30">
        <f>SUM(N439:N441)</f>
        <v>-11.610086399999997</v>
      </c>
      <c r="O442" s="30">
        <f>SUM(O439:O441)</f>
        <v>-14.476014952428669</v>
      </c>
      <c r="P442" s="30">
        <f>SUM(P439:P441)</f>
        <v>0.0</v>
      </c>
      <c r="Q442" s="30">
        <f>SUM(Q439:Q441)</f>
        <v>0.0</v>
      </c>
      <c r="R442" s="30">
        <f>SUM(R439:R441)</f>
        <v>-19.014072240249657</v>
      </c>
      <c r="S442" s="30">
        <f>SUM(S439:S441)</f>
        <v>0.0</v>
      </c>
      <c r="T442" s="30">
        <f>SUM(T439:T441)</f>
        <v>0.0</v>
      </c>
      <c r="U442" s="30">
        <f>SUM(U439:U441)</f>
        <v>-10.027262063616421</v>
      </c>
      <c r="V442" s="30">
        <f>SUM(V439:V441)</f>
        <v>-4.1796311039999985</v>
      </c>
      <c r="W442" s="30">
        <f>SUM(W439:W441)</f>
        <v>0.0</v>
      </c>
      <c r="X442" s="30">
        <f>SUM(X439:X441)</f>
        <v>-8.345436109184998</v>
      </c>
      <c r="Y442" s="30">
        <f>SUM(Y439:Y441)</f>
        <v>0.0</v>
      </c>
      <c r="Z442" s="30">
        <f>SUM(Z439:Z441)</f>
        <v>-2.5077786623999985</v>
      </c>
    </row>
    <row r="443">
      <c r="A443" s="3" t="inlineStr">
        <is>
          <t>CAC (paid, month 1)</t>
        </is>
      </c>
      <c r="B443" s="30">
        <f>SUM(C443:Z443)</f>
        <v>-4500.0</v>
      </c>
      <c r="C443" s="33">
        <f>IF(C$436=1,-$B$414*$B$421,0)</f>
        <v>-4500.0</v>
      </c>
      <c r="D443" s="33">
        <f>IF(D$436=1,-$B$414*$B$421,0)</f>
        <v>0.0</v>
      </c>
      <c r="E443" s="33">
        <f>IF(E$436=1,-$B$414*$B$421,0)</f>
        <v>0.0</v>
      </c>
      <c r="F443" s="33">
        <f>IF(F$436=1,-$B$414*$B$421,0)</f>
        <v>0.0</v>
      </c>
      <c r="G443" s="33">
        <f>IF(G$436=1,-$B$414*$B$421,0)</f>
        <v>0.0</v>
      </c>
      <c r="H443" s="33">
        <f>IF(H$436=1,-$B$414*$B$421,0)</f>
        <v>0.0</v>
      </c>
      <c r="I443" s="33">
        <f>IF(I$436=1,-$B$414*$B$421,0)</f>
        <v>0.0</v>
      </c>
      <c r="J443" s="33">
        <f>IF(J$436=1,-$B$414*$B$421,0)</f>
        <v>0.0</v>
      </c>
      <c r="K443" s="33">
        <f>IF(K$436=1,-$B$414*$B$421,0)</f>
        <v>0.0</v>
      </c>
      <c r="L443" s="33">
        <f>IF(L$436=1,-$B$414*$B$421,0)</f>
        <v>0.0</v>
      </c>
      <c r="M443" s="33">
        <f>IF(M$436=1,-$B$414*$B$421,0)</f>
        <v>0.0</v>
      </c>
      <c r="N443" s="33">
        <f>IF(N$436=1,-$B$414*$B$421,0)</f>
        <v>0.0</v>
      </c>
      <c r="O443" s="33">
        <f>IF(O$436=1,-$B$414*$B$421,0)</f>
        <v>0.0</v>
      </c>
      <c r="P443" s="33">
        <f>IF(P$436=1,-$B$414*$B$421,0)</f>
        <v>0.0</v>
      </c>
      <c r="Q443" s="33">
        <f>IF(Q$436=1,-$B$414*$B$421,0)</f>
        <v>0.0</v>
      </c>
      <c r="R443" s="33">
        <f>IF(R$436=1,-$B$414*$B$421,0)</f>
        <v>0.0</v>
      </c>
      <c r="S443" s="33">
        <f>IF(S$436=1,-$B$414*$B$421,0)</f>
        <v>0.0</v>
      </c>
      <c r="T443" s="33">
        <f>IF(T$436=1,-$B$414*$B$421,0)</f>
        <v>0.0</v>
      </c>
      <c r="U443" s="33">
        <f>IF(U$436=1,-$B$414*$B$421,0)</f>
        <v>0.0</v>
      </c>
      <c r="V443" s="33">
        <f>IF(V$436=1,-$B$414*$B$421,0)</f>
        <v>0.0</v>
      </c>
      <c r="W443" s="33">
        <f>IF(W$436=1,-$B$414*$B$421,0)</f>
        <v>0.0</v>
      </c>
      <c r="X443" s="33">
        <f>IF(X$436=1,-$B$414*$B$421,0)</f>
        <v>0.0</v>
      </c>
      <c r="Y443" s="33">
        <f>IF(Y$436=1,-$B$414*$B$421,0)</f>
        <v>0.0</v>
      </c>
      <c r="Z443" s="33">
        <f>IF(Z$436=1,-$B$414*$B$421,0)</f>
        <v>0.0</v>
      </c>
    </row>
    <row r="444">
      <c r="A444" s="3" t="inlineStr">
        <is>
          <t>Net contribution after CAC</t>
        </is>
      </c>
      <c r="B444" s="30">
        <f>SUM(C444:Z444)</f>
        <v>-4185.243007596947</v>
      </c>
      <c r="C444" s="33">
        <f>C442+C443</f>
        <v>-4000.0803674999993</v>
      </c>
      <c r="D444" s="33">
        <f>D442+D443</f>
        <v>0.0</v>
      </c>
      <c r="E444" s="33">
        <f>E442+E443</f>
        <v>0.0</v>
      </c>
      <c r="F444" s="33">
        <f>F442+F443</f>
        <v>-57.360372791299156</v>
      </c>
      <c r="G444" s="33">
        <f>G442+G443</f>
        <v>0.0</v>
      </c>
      <c r="H444" s="33">
        <f>H442+H443</f>
        <v>0.0</v>
      </c>
      <c r="I444" s="33">
        <f>I442+I443</f>
        <v>-20.898527192512656</v>
      </c>
      <c r="J444" s="33">
        <f>J442+J443</f>
        <v>-19.350143999999993</v>
      </c>
      <c r="K444" s="33">
        <f>K442+K443</f>
        <v>0.0</v>
      </c>
      <c r="L444" s="33">
        <f>L442+L443</f>
        <v>-17.393314581256508</v>
      </c>
      <c r="M444" s="33">
        <f>M442+M443</f>
        <v>0.0</v>
      </c>
      <c r="N444" s="33">
        <f>N442+N443</f>
        <v>-11.610086399999997</v>
      </c>
      <c r="O444" s="33">
        <f>O442+O443</f>
        <v>-14.476014952428669</v>
      </c>
      <c r="P444" s="33">
        <f>P442+P443</f>
        <v>0.0</v>
      </c>
      <c r="Q444" s="33">
        <f>Q442+Q443</f>
        <v>0.0</v>
      </c>
      <c r="R444" s="33">
        <f>R442+R443</f>
        <v>-19.014072240249657</v>
      </c>
      <c r="S444" s="33">
        <f>S442+S443</f>
        <v>0.0</v>
      </c>
      <c r="T444" s="33">
        <f>T442+T443</f>
        <v>0.0</v>
      </c>
      <c r="U444" s="33">
        <f>U442+U443</f>
        <v>-10.027262063616421</v>
      </c>
      <c r="V444" s="33">
        <f>V442+V443</f>
        <v>-4.1796311039999985</v>
      </c>
      <c r="W444" s="33">
        <f>W442+W443</f>
        <v>0.0</v>
      </c>
      <c r="X444" s="33">
        <f>X442+X443</f>
        <v>-8.345436109184998</v>
      </c>
      <c r="Y444" s="33">
        <f>Y442+Y443</f>
        <v>0.0</v>
      </c>
      <c r="Z444" s="33">
        <f>Z442+Z443</f>
        <v>-2.5077786623999985</v>
      </c>
    </row>
    <row r="445">
      <c r="A445" s="16" t="inlineStr">
        <is>
          <t>CUMULATIVE contribution after CAC</t>
        </is>
      </c>
      <c r="C445" s="49">
        <f>C444</f>
        <v>-4000.0803674999993</v>
      </c>
      <c r="D445" s="49">
        <f>C445+D444</f>
        <v>-4000.0803674999993</v>
      </c>
      <c r="E445" s="49">
        <f>D445+E444</f>
        <v>-4000.0803674999993</v>
      </c>
      <c r="F445" s="49">
        <f>E445+F444</f>
        <v>-4057.4407402912984</v>
      </c>
      <c r="G445" s="49">
        <f>F445+G444</f>
        <v>-4057.4407402912984</v>
      </c>
      <c r="H445" s="49">
        <f>G445+H444</f>
        <v>-4057.4407402912984</v>
      </c>
      <c r="I445" s="49">
        <f>H445+I444</f>
        <v>-4078.339267483811</v>
      </c>
      <c r="J445" s="49">
        <f>I445+J444</f>
        <v>-4097.6894114838105</v>
      </c>
      <c r="K445" s="49">
        <f>J445+K444</f>
        <v>-4097.6894114838105</v>
      </c>
      <c r="L445" s="49">
        <f>K445+L444</f>
        <v>-4115.082726065067</v>
      </c>
      <c r="M445" s="49">
        <f>L445+M444</f>
        <v>-4115.082726065067</v>
      </c>
      <c r="N445" s="49">
        <f>M445+N444</f>
        <v>-4126.692812465067</v>
      </c>
      <c r="O445" s="49">
        <f>N445+O444</f>
        <v>-4141.168827417496</v>
      </c>
      <c r="P445" s="49">
        <f>O445+P444</f>
        <v>-4141.168827417496</v>
      </c>
      <c r="Q445" s="49">
        <f>P445+Q444</f>
        <v>-4141.168827417496</v>
      </c>
      <c r="R445" s="49">
        <f>Q445+R444</f>
        <v>-4160.182899657745</v>
      </c>
      <c r="S445" s="49">
        <f>R445+S444</f>
        <v>-4160.182899657745</v>
      </c>
      <c r="T445" s="49">
        <f>S445+T444</f>
        <v>-4160.182899657745</v>
      </c>
      <c r="U445" s="49">
        <f>T445+U444</f>
        <v>-4170.210161721361</v>
      </c>
      <c r="V445" s="49">
        <f>U445+V444</f>
        <v>-4174.389792825361</v>
      </c>
      <c r="W445" s="49">
        <f>V445+W444</f>
        <v>-4174.389792825361</v>
      </c>
      <c r="X445" s="49">
        <f>W445+X444</f>
        <v>-4182.735228934546</v>
      </c>
      <c r="Y445" s="49">
        <f>X445+Y444</f>
        <v>-4182.735228934546</v>
      </c>
      <c r="Z445" s="49">
        <f>Y445+Z444</f>
        <v>-4185.243007596946</v>
      </c>
    </row>
    <row r="446">
      <c r="A446" s="3" t="inlineStr">
        <is>
          <t>Cumulative contribution before CAC, per customer</t>
        </is>
      </c>
      <c r="C446" s="26">
        <f>SUM($C442:C442)/$B$414</f>
        <v>4.999196325000007</v>
      </c>
      <c r="D446" s="26">
        <f>SUM($C442:D442)/$B$414</f>
        <v>4.999196325000007</v>
      </c>
      <c r="E446" s="26">
        <f>SUM($C442:E442)/$B$414</f>
        <v>4.999196325000007</v>
      </c>
      <c r="F446" s="26">
        <f>SUM($C442:F442)/$B$414</f>
        <v>4.425592597087015</v>
      </c>
      <c r="G446" s="26">
        <f>SUM($C442:G442)/$B$414</f>
        <v>4.425592597087015</v>
      </c>
      <c r="H446" s="26">
        <f>SUM($C442:H442)/$B$414</f>
        <v>4.425592597087015</v>
      </c>
      <c r="I446" s="26">
        <f>SUM($C442:I442)/$B$414</f>
        <v>4.216607325161889</v>
      </c>
      <c r="J446" s="26">
        <f>SUM($C442:J442)/$B$414</f>
        <v>4.023105885161889</v>
      </c>
      <c r="K446" s="26">
        <f>SUM($C442:K442)/$B$414</f>
        <v>4.023105885161889</v>
      </c>
      <c r="L446" s="26">
        <f>SUM($C442:L442)/$B$414</f>
        <v>3.849172739349324</v>
      </c>
      <c r="M446" s="26">
        <f>SUM($C442:M442)/$B$414</f>
        <v>3.849172739349324</v>
      </c>
      <c r="N446" s="26">
        <f>SUM($C442:N442)/$B$414</f>
        <v>3.733071875349324</v>
      </c>
      <c r="O446" s="26">
        <f>SUM($C442:O442)/$B$414</f>
        <v>3.588311725825037</v>
      </c>
      <c r="P446" s="26">
        <f>SUM($C442:P442)/$B$414</f>
        <v>3.588311725825037</v>
      </c>
      <c r="Q446" s="26">
        <f>SUM($C442:Q442)/$B$414</f>
        <v>3.588311725825037</v>
      </c>
      <c r="R446" s="26">
        <f>SUM($C442:R442)/$B$414</f>
        <v>3.398171003422541</v>
      </c>
      <c r="S446" s="26">
        <f>SUM($C442:S442)/$B$414</f>
        <v>3.398171003422541</v>
      </c>
      <c r="T446" s="26">
        <f>SUM($C442:T442)/$B$414</f>
        <v>3.398171003422541</v>
      </c>
      <c r="U446" s="26">
        <f>SUM($C442:U442)/$B$414</f>
        <v>3.297898382786377</v>
      </c>
      <c r="V446" s="26">
        <f>SUM($C442:V442)/$B$414</f>
        <v>3.2561020717463767</v>
      </c>
      <c r="W446" s="26">
        <f>SUM($C442:W442)/$B$414</f>
        <v>3.2561020717463767</v>
      </c>
      <c r="X446" s="26">
        <f>SUM($C442:X442)/$B$414</f>
        <v>3.1726477106545268</v>
      </c>
      <c r="Y446" s="26">
        <f>SUM($C442:Y442)/$B$414</f>
        <v>3.1726477106545268</v>
      </c>
      <c r="Z446" s="26">
        <f>SUM($C442:Z442)/$B$414</f>
        <v>3.1475699240305266</v>
      </c>
    </row>
    <row r="447">
      <c r="A447" s="3" t="inlineStr">
        <is>
          <t>Gross revenue (reference only - NOT used for LTV)</t>
        </is>
      </c>
      <c r="B447" s="30">
        <f>SUM(C447:Z447)</f>
        <v>6711.934390393576</v>
      </c>
      <c r="C447" s="50">
        <f>IF(C$436=1,$B$414*$B$432,0)+C437*$B$433+C438*$B$434</f>
        <v>5498.75</v>
      </c>
      <c r="D447" s="50">
        <f>IF(D$436=1,$B$414*$B$432,0)+D437*$B$433+D438*$B$434</f>
        <v>0.0</v>
      </c>
      <c r="E447" s="50">
        <f>IF(E$436=1,$B$414*$B$432,0)+E437*$B$433+E438*$B$434</f>
        <v>0.0</v>
      </c>
      <c r="F447" s="50">
        <f>IF(F$436=1,$B$414*$B$432,0)+F437*$B$433+F438*$B$434</f>
        <v>418.11098649140246</v>
      </c>
      <c r="G447" s="50">
        <f>IF(G$436=1,$B$414*$B$432,0)+G437*$B$433+G438*$B$434</f>
        <v>0.0</v>
      </c>
      <c r="H447" s="50">
        <f>IF(H$436=1,$B$414*$B$432,0)+H437*$B$433+H438*$B$434</f>
        <v>0.0</v>
      </c>
      <c r="I447" s="50">
        <f>IF(I$436=1,$B$414*$B$432,0)+I437*$B$433+I438*$B$434</f>
        <v>93.45694242914557</v>
      </c>
      <c r="J447" s="50">
        <f>IF(J$436=1,$B$414*$B$432,0)+J437*$B$433+J438*$B$434</f>
        <v>183.49199999999996</v>
      </c>
      <c r="K447" s="50">
        <f>IF(K$436=1,$B$414*$B$432,0)+K437*$B$433+K438*$B$434</f>
        <v>0.0</v>
      </c>
      <c r="L447" s="50">
        <f>IF(L$436=1,$B$414*$B$432,0)+L437*$B$433+L438*$B$434</f>
        <v>77.78184483999844</v>
      </c>
      <c r="M447" s="50">
        <f>IF(M$436=1,$B$414*$B$432,0)+M437*$B$433+M438*$B$434</f>
        <v>0.0</v>
      </c>
      <c r="N447" s="50">
        <f>IF(N$436=1,$B$414*$B$432,0)+N437*$B$433+N438*$B$434</f>
        <v>110.09519999999998</v>
      </c>
      <c r="O447" s="50">
        <f>IF(O$436=1,$B$414*$B$432,0)+O437*$B$433+O438*$B$434</f>
        <v>64.73585834782061</v>
      </c>
      <c r="P447" s="50">
        <f>IF(P$436=1,$B$414*$B$432,0)+P437*$B$433+P438*$B$434</f>
        <v>0.0</v>
      </c>
      <c r="Q447" s="50">
        <f>IF(Q$436=1,$B$414*$B$432,0)+Q437*$B$433+Q438*$B$434</f>
        <v>0.0</v>
      </c>
      <c r="R447" s="50">
        <f>IF(R$436=1,$B$414*$B$432,0)+R437*$B$433+R438*$B$434</f>
        <v>119.93513439589995</v>
      </c>
      <c r="S447" s="50">
        <f>IF(S$436=1,$B$414*$B$432,0)+S437*$B$433+S438*$B$434</f>
        <v>0.0</v>
      </c>
      <c r="T447" s="50">
        <f>IF(T$436=1,$B$414*$B$432,0)+T437*$B$433+T438*$B$434</f>
        <v>0.0</v>
      </c>
      <c r="U447" s="50">
        <f>IF(U$436=1,$B$414*$B$432,0)+U437*$B$433+U438*$B$434</f>
        <v>44.84130602931184</v>
      </c>
      <c r="V447" s="50">
        <f>IF(V$436=1,$B$414*$B$432,0)+V437*$B$433+V438*$B$434</f>
        <v>39.634271999999996</v>
      </c>
      <c r="W447" s="50">
        <f>IF(W$436=1,$B$414*$B$432,0)+W437*$B$433+W438*$B$434</f>
        <v>0.0</v>
      </c>
      <c r="X447" s="50">
        <f>IF(X$436=1,$B$414*$B$432,0)+X437*$B$433+X438*$B$434</f>
        <v>37.32028265999744</v>
      </c>
      <c r="Y447" s="50">
        <f>IF(Y$436=1,$B$414*$B$432,0)+Y437*$B$433+Y438*$B$434</f>
        <v>0.0</v>
      </c>
      <c r="Z447" s="50">
        <f>IF(Z$436=1,$B$414*$B$432,0)+Z437*$B$433+Z438*$B$434</f>
        <v>23.780563199999992</v>
      </c>
    </row>
    <row r="448">
      <c r="A448" s="3" t="inlineStr">
        <is>
          <t>Payback helper (month if cumulative &gt;= 0, else 99)</t>
        </is>
      </c>
      <c r="C448" s="51">
        <f>IF(C445&gt;=0,C$436,99)</f>
        <v>99.0</v>
      </c>
      <c r="D448" s="51">
        <f>IF(D445&gt;=0,D$436,99)</f>
        <v>99.0</v>
      </c>
      <c r="E448" s="51">
        <f>IF(E445&gt;=0,E$436,99)</f>
        <v>99.0</v>
      </c>
      <c r="F448" s="51">
        <f>IF(F445&gt;=0,F$436,99)</f>
        <v>99.0</v>
      </c>
      <c r="G448" s="51">
        <f>IF(G445&gt;=0,G$436,99)</f>
        <v>99.0</v>
      </c>
      <c r="H448" s="51">
        <f>IF(H445&gt;=0,H$436,99)</f>
        <v>99.0</v>
      </c>
      <c r="I448" s="51">
        <f>IF(I445&gt;=0,I$436,99)</f>
        <v>99.0</v>
      </c>
      <c r="J448" s="51">
        <f>IF(J445&gt;=0,J$436,99)</f>
        <v>99.0</v>
      </c>
      <c r="K448" s="51">
        <f>IF(K445&gt;=0,K$436,99)</f>
        <v>99.0</v>
      </c>
      <c r="L448" s="51">
        <f>IF(L445&gt;=0,L$436,99)</f>
        <v>99.0</v>
      </c>
      <c r="M448" s="51">
        <f>IF(M445&gt;=0,M$436,99)</f>
        <v>99.0</v>
      </c>
      <c r="N448" s="51">
        <f>IF(N445&gt;=0,N$436,99)</f>
        <v>99.0</v>
      </c>
      <c r="O448" s="51">
        <f>IF(O445&gt;=0,O$436,99)</f>
        <v>99.0</v>
      </c>
      <c r="P448" s="51">
        <f>IF(P445&gt;=0,P$436,99)</f>
        <v>99.0</v>
      </c>
      <c r="Q448" s="51">
        <f>IF(Q445&gt;=0,Q$436,99)</f>
        <v>99.0</v>
      </c>
      <c r="R448" s="51">
        <f>IF(R445&gt;=0,R$436,99)</f>
        <v>99.0</v>
      </c>
      <c r="S448" s="51">
        <f>IF(S445&gt;=0,S$436,99)</f>
        <v>99.0</v>
      </c>
      <c r="T448" s="51">
        <f>IF(T445&gt;=0,T$436,99)</f>
        <v>99.0</v>
      </c>
      <c r="U448" s="51">
        <f>IF(U445&gt;=0,U$436,99)</f>
        <v>99.0</v>
      </c>
      <c r="V448" s="51">
        <f>IF(V445&gt;=0,V$436,99)</f>
        <v>99.0</v>
      </c>
      <c r="W448" s="51">
        <f>IF(W445&gt;=0,W$436,99)</f>
        <v>99.0</v>
      </c>
      <c r="X448" s="51">
        <f>IF(X445&gt;=0,X$436,99)</f>
        <v>99.0</v>
      </c>
      <c r="Y448" s="51">
        <f>IF(Y445&gt;=0,Y$436,99)</f>
        <v>99.0</v>
      </c>
      <c r="Z448" s="51">
        <f>IF(Z445&gt;=0,Z$436,99)</f>
        <v>99.0</v>
      </c>
    </row>
    <row r="450">
      <c r="A450" s="16" t="inlineStr">
        <is>
          <t>FIRST-ORDER contribution before ads, per customer</t>
        </is>
      </c>
      <c r="B450" s="42">
        <f>$B$420</f>
        <v>4.999196325000007</v>
      </c>
    </row>
    <row r="451">
      <c r="A451" s="16" t="inlineStr">
        <is>
          <t>FIRST-ORDER contribution after CAC, per customer</t>
        </is>
      </c>
      <c r="B451" s="42">
        <f>$B$420-$B$421</f>
        <v>-40.00080367499999</v>
      </c>
    </row>
    <row r="452">
      <c r="A452" s="16" t="inlineStr">
        <is>
          <t>Is the first order profitable after CAC?</t>
        </is>
      </c>
      <c r="B452" s="52" t="str">
        <f>IF(B451&gt;=0,"YES - first order covers CAC","NO - first order loses money after CAC")</f>
        <v>NO - first order loses money after CAC</v>
      </c>
    </row>
    <row r="453">
      <c r="A453" s="3" t="inlineStr">
        <is>
          <t>Payback month (numeric; 99 = none within 24 months)</t>
        </is>
      </c>
      <c r="B453" s="41">
        <f>MIN(C448:Z448)</f>
        <v>99.0</v>
      </c>
    </row>
    <row r="454">
      <c r="A454" s="16" t="inlineStr">
        <is>
          <t>Payback (display)</t>
        </is>
      </c>
      <c r="B454" s="52" t="str">
        <f>IF(B453&gt;24,"No payback within 24 months","Month "&amp;B453)</f>
        <v>No payback within 24 months</v>
      </c>
    </row>
    <row r="455">
      <c r="A455" s="16" t="inlineStr">
        <is>
          <t>12-month contribution LTV per customer (before CAC)</t>
        </is>
      </c>
      <c r="B455" s="42">
        <f>SUM(C442:N442)/$B$414</f>
        <v>3.733071875349324</v>
      </c>
    </row>
    <row r="456">
      <c r="A456" s="16" t="inlineStr">
        <is>
          <t>24-month contribution LTV per customer (before CAC)</t>
        </is>
      </c>
      <c r="B456" s="42">
        <f>SUM(C442:Z442)/$B$414</f>
        <v>3.1475699240305266</v>
      </c>
    </row>
    <row r="457">
      <c r="A457" s="16" t="inlineStr">
        <is>
          <t>12-month contribution LTV net of CAC</t>
        </is>
      </c>
      <c r="B457" s="42">
        <f>B455-$B$421</f>
        <v>-41.266928124650676</v>
      </c>
    </row>
    <row r="458">
      <c r="A458" s="3" t="inlineStr">
        <is>
          <t>24-month contribution LTV net of CAC</t>
        </is>
      </c>
      <c r="B458" s="26">
        <f>B456-$B$421</f>
        <v>-41.85243007596947</v>
      </c>
    </row>
    <row r="459">
      <c r="A459" s="16" t="inlineStr">
        <is>
          <t>12-month LTV:CAC (contribution basis)</t>
        </is>
      </c>
      <c r="B459" s="53">
        <f>IFERROR(B455/$B$421,0)</f>
        <v>0.08295715278554053</v>
      </c>
    </row>
    <row r="460">
      <c r="A460" s="3" t="inlineStr">
        <is>
          <t>24-month LTV:CAC</t>
        </is>
      </c>
      <c r="B460" s="37">
        <f>IFERROR(B456/$B$421,0)</f>
        <v>0.06994599831178948</v>
      </c>
    </row>
    <row r="461">
      <c r="A461" s="3" t="inlineStr">
        <is>
          <t>12-month LTV : blended CAC (info only)</t>
        </is>
      </c>
      <c r="B461" s="37">
        <f>IFERROR(B455/($B$421*Inputs!$E$121),0)</f>
        <v>0.09759665033593004</v>
      </c>
    </row>
    <row r="462">
      <c r="A462" s="3" t="inlineStr">
        <is>
          <t>Cohort contribution from subscription renewals, months 1-24</t>
        </is>
      </c>
      <c r="B462" s="33">
        <f>B437*$B$422</f>
        <v>-108.29870809054808</v>
      </c>
    </row>
    <row r="463">
      <c r="A463" s="3" t="inlineStr">
        <is>
          <t>Renewal contribution per subscriber, 12 months</t>
        </is>
      </c>
      <c r="B463" s="26">
        <f>IFERROR(SUM(C437:N437)*$B$422/$B$417,0)</f>
        <v>-6.340197456506833</v>
      </c>
    </row>
    <row r="464">
      <c r="A464" s="3" t="inlineStr">
        <is>
          <t>Repeat contribution per occasional buyer, 12 months</t>
        </is>
      </c>
      <c r="B464" s="26">
        <f>IFERROR(SUM(C438:N438)*$B$423/$B$418,0)</f>
        <v>-3.511692799999999</v>
      </c>
    </row>
    <row r="465">
      <c r="A465" s="3" t="inlineStr">
        <is>
          <t>Orders per acquired customer, 12 months</t>
        </is>
      </c>
      <c r="B465" s="11">
        <f>($B$414+SUM(C437:N437)+SUM(C438:N438))/$B$414</f>
        <v>1.5382226497681948</v>
      </c>
    </row>
    <row r="466">
      <c r="A466" s="3" t="inlineStr">
        <is>
          <t>Renewal contribution per subscriber, 24 months</t>
        </is>
      </c>
      <c r="B466" s="26">
        <f>IFERROR(SUM(C437:Z437)*$B$422/$B$417,0)</f>
        <v>-10.829870809054807</v>
      </c>
    </row>
    <row r="467">
      <c r="A467" s="3" t="inlineStr">
        <is>
          <t>Repeat contribution per occasional buyer, 24 months</t>
        </is>
      </c>
      <c r="B467" s="26">
        <f>IFERROR(SUM(C438:Z438)*$B$423/$B$418,0)</f>
        <v>-4.270218444799998</v>
      </c>
    </row>
    <row r="470">
      <c r="A470" s="43" t="inlineStr">
        <is>
          <t>Engine cohort: BASE + churn shock (sensitivity)</t>
        </is>
      </c>
      <c r="B470" s="44" t="n"/>
      <c r="C470" s="44" t="n"/>
      <c r="D470" s="44" t="n"/>
      <c r="E470" s="44" t="n"/>
      <c r="F470" s="44" t="n"/>
      <c r="G470" s="44" t="n"/>
      <c r="H470" s="44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  <c r="R470" s="44" t="n"/>
      <c r="S470" s="44" t="n"/>
      <c r="T470" s="44" t="n"/>
      <c r="U470" s="44" t="n"/>
      <c r="V470" s="44" t="n"/>
      <c r="W470" s="44" t="n"/>
      <c r="X470" s="44" t="n"/>
      <c r="Y470" s="44" t="n"/>
      <c r="Z470" s="44" t="n"/>
    </row>
    <row r="472">
      <c r="A472" s="3" t="inlineStr">
        <is>
          <t>Customers acquired (N)</t>
        </is>
      </c>
      <c r="B472" s="12">
        <f>Inputs!$E$9</f>
        <v>100.0</v>
      </c>
    </row>
    <row r="473">
      <c r="A473" s="3" t="inlineStr">
        <is>
          <t>Subscription attach (after any shock)</t>
        </is>
      </c>
      <c r="B473" s="34">
        <f>MIN(1,Inputs!$E$133*Cat_UnitEcon!$AX$10)</f>
        <v>0.2</v>
      </c>
    </row>
    <row r="474">
      <c r="A474" s="3" t="inlineStr">
        <is>
          <t>Non-subscriber 12-month repeat rate</t>
        </is>
      </c>
      <c r="B474" s="45">
        <f>Inputs!$E$139</f>
        <v>0.2</v>
      </c>
    </row>
    <row r="475">
      <c r="A475" s="3" t="inlineStr">
        <is>
          <t>Segment: subscribers</t>
        </is>
      </c>
      <c r="B475" s="46">
        <f>$B$472*$B$473</f>
        <v>20.0</v>
      </c>
    </row>
    <row r="476">
      <c r="A476" s="3" t="inlineStr">
        <is>
          <t>Segment: occasional repeat buyers</t>
        </is>
      </c>
      <c r="B476" s="46">
        <f>$B$472*(1-$B$473)*$B$474</f>
        <v>16.0</v>
      </c>
    </row>
    <row r="477">
      <c r="A477" s="3" t="inlineStr">
        <is>
          <t>Segment: one-time only</t>
        </is>
      </c>
      <c r="B477" s="46">
        <f>$B$472-$B$475-$B$476</f>
        <v>64.0</v>
      </c>
    </row>
    <row r="478">
      <c r="A478" s="3" t="inlineStr">
        <is>
          <t>First-order contribution before ads, per customer (mix)</t>
        </is>
      </c>
      <c r="B478" s="39">
        <f>Cat_UnitEcon!$AX$57</f>
        <v>4.999196325000007</v>
      </c>
    </row>
    <row r="479">
      <c r="A479" s="3" t="inlineStr">
        <is>
          <t>Paid CAC per new customer</t>
        </is>
      </c>
      <c r="B479" s="39">
        <f>Cat_UnitEcon!$AX$60</f>
        <v>45.0</v>
      </c>
    </row>
    <row r="480">
      <c r="A480" s="3" t="inlineStr">
        <is>
          <t>Contribution per subscription renewal order</t>
        </is>
      </c>
      <c r="B480" s="39">
        <f>Cat_UnitEcon!$BA$50</f>
        <v>-3.419322000000001</v>
      </c>
    </row>
    <row r="481">
      <c r="A481" s="3" t="inlineStr">
        <is>
          <t>Contribution per occasional repeat order</t>
        </is>
      </c>
      <c r="B481" s="39">
        <f>Cat_UnitEcon!$BB$50</f>
        <v>-1.7916799999999995</v>
      </c>
    </row>
    <row r="482">
      <c r="A482" s="3" t="inlineStr">
        <is>
          <t>Churn before first renewal (incl. involuntary)</t>
        </is>
      </c>
      <c r="B482" s="34">
        <f>1-(1-MIN(1,Inputs!$E$135*Cat_UnitEcon!$AX$11))*(1-MIN(1,Inputs!$E$137*Cat_UnitEcon!$AX$11))^$B$484</f>
        <v>0.39448150476562494</v>
      </c>
    </row>
    <row r="483">
      <c r="A483" s="3" t="inlineStr">
        <is>
          <t>Churn per later cycle (incl. involuntary)</t>
        </is>
      </c>
      <c r="B483" s="34">
        <f>1-(1-MIN(1,Inputs!$E$136*Cat_UnitEcon!$AX$11))*(1-MIN(1,Inputs!$E$137*Cat_UnitEcon!$AX$11))^$B$484</f>
        <v>0.24915706590937492</v>
      </c>
    </row>
    <row r="484">
      <c r="A484" s="3" t="inlineStr">
        <is>
          <t>Renewal cadence (months)</t>
        </is>
      </c>
      <c r="B484" s="12">
        <f>Inputs!$E$134</f>
        <v>3.0</v>
      </c>
    </row>
    <row r="485">
      <c r="A485" s="3" t="inlineStr">
        <is>
          <t>Occasional: month of first repeat</t>
        </is>
      </c>
      <c r="B485" s="12">
        <f>Inputs!$E$140</f>
        <v>4.0</v>
      </c>
    </row>
    <row r="486">
      <c r="A486" s="3" t="inlineStr">
        <is>
          <t>Occasional: months between orders</t>
        </is>
      </c>
      <c r="B486" s="12">
        <f>Inputs!$E$141</f>
        <v>4.0</v>
      </c>
    </row>
    <row r="487">
      <c r="A487" s="3" t="inlineStr">
        <is>
          <t>Occasional: probability of each further order</t>
        </is>
      </c>
      <c r="B487" s="45">
        <f>Inputs!$E$142</f>
        <v>0.6</v>
      </c>
    </row>
    <row r="488">
      <c r="A488" s="3" t="inlineStr">
        <is>
          <t>First-order contribution - subscriber</t>
        </is>
      </c>
      <c r="B488" s="39">
        <f>Cat_UnitEcon!$AX$63</f>
        <v>4.999196325000007</v>
      </c>
    </row>
    <row r="489">
      <c r="A489" s="3" t="inlineStr">
        <is>
          <t>First-order contribution - non-subscriber</t>
        </is>
      </c>
      <c r="B489" s="39">
        <f>Cat_UnitEcon!$AX$64</f>
        <v>4.999196325000007</v>
      </c>
    </row>
    <row r="490">
      <c r="A490" s="3" t="inlineStr">
        <is>
          <t>First-order gross revenue (mix) - reference</t>
        </is>
      </c>
      <c r="B490" s="39">
        <f>Cat_UnitEcon!$AX$59</f>
        <v>54.9875</v>
      </c>
    </row>
    <row r="491">
      <c r="A491" s="3" t="inlineStr">
        <is>
          <t>Renewal order gross revenue - reference</t>
        </is>
      </c>
      <c r="B491" s="39">
        <f>Cat_UnitEcon!$BA$35</f>
        <v>15.290999999999999</v>
      </c>
    </row>
    <row r="492">
      <c r="A492" s="3" t="inlineStr">
        <is>
          <t>Occasional order gross revenue - reference</t>
        </is>
      </c>
      <c r="B492" s="39">
        <f>Cat_UnitEcon!$BB$35</f>
        <v>16.99</v>
      </c>
    </row>
    <row r="494">
      <c r="A494" s="4" t="inlineStr">
        <is>
          <t>Month</t>
        </is>
      </c>
      <c r="B494" s="4" t="inlineStr">
        <is>
          <t>Total 1-24</t>
        </is>
      </c>
      <c r="C494" s="47" t="n">
        <v>1</v>
      </c>
      <c r="D494" s="47" t="n">
        <v>2</v>
      </c>
      <c r="E494" s="47" t="n">
        <v>3</v>
      </c>
      <c r="F494" s="47" t="n">
        <v>4</v>
      </c>
      <c r="G494" s="47" t="n">
        <v>5</v>
      </c>
      <c r="H494" s="47" t="n">
        <v>6</v>
      </c>
      <c r="I494" s="47" t="n">
        <v>7</v>
      </c>
      <c r="J494" s="47" t="n">
        <v>8</v>
      </c>
      <c r="K494" s="47" t="n">
        <v>9</v>
      </c>
      <c r="L494" s="47" t="n">
        <v>10</v>
      </c>
      <c r="M494" s="47" t="n">
        <v>11</v>
      </c>
      <c r="N494" s="47" t="n">
        <v>12</v>
      </c>
      <c r="O494" s="47" t="n">
        <v>13</v>
      </c>
      <c r="P494" s="47" t="n">
        <v>14</v>
      </c>
      <c r="Q494" s="47" t="n">
        <v>15</v>
      </c>
      <c r="R494" s="47" t="n">
        <v>16</v>
      </c>
      <c r="S494" s="47" t="n">
        <v>17</v>
      </c>
      <c r="T494" s="47" t="n">
        <v>18</v>
      </c>
      <c r="U494" s="47" t="n">
        <v>19</v>
      </c>
      <c r="V494" s="47" t="n">
        <v>20</v>
      </c>
      <c r="W494" s="47" t="n">
        <v>21</v>
      </c>
      <c r="X494" s="47" t="n">
        <v>22</v>
      </c>
      <c r="Y494" s="47" t="n">
        <v>23</v>
      </c>
      <c r="Z494" s="47" t="n">
        <v>24</v>
      </c>
    </row>
    <row r="495">
      <c r="A495" s="3" t="inlineStr">
        <is>
          <t>Subscription renewal orders (paying subscribers)</t>
        </is>
      </c>
      <c r="B495" s="48">
        <f>SUM(C495:Z495)</f>
        <v>42.06611489686449</v>
      </c>
      <c r="C495" s="46">
        <f>IF(AND(C$494&gt;1,MOD(C$494-1,$B$484)=0),$B$475*(1-$B$482)*(1-$B$483)^((C$494-1)/$B$484-1),0)</f>
        <v>0.0</v>
      </c>
      <c r="D495" s="46">
        <f>IF(AND(D$494&gt;1,MOD(D$494-1,$B$484)=0),$B$475*(1-$B$482)*(1-$B$483)^((D$494-1)/$B$484-1),0)</f>
        <v>0.0</v>
      </c>
      <c r="E495" s="46">
        <f>IF(AND(E$494&gt;1,MOD(E$494-1,$B$484)=0),$B$475*(1-$B$482)*(1-$B$483)^((E$494-1)/$B$484-1),0)</f>
        <v>0.0</v>
      </c>
      <c r="F495" s="46">
        <f>IF(AND(F$494&gt;1,MOD(F$494-1,$B$484)=0),$B$475*(1-$B$482)*(1-$B$483)^((F$494-1)/$B$484-1),0)</f>
        <v>12.110369904687502</v>
      </c>
      <c r="G495" s="46">
        <f>IF(AND(G$494&gt;1,MOD(G$494-1,$B$484)=0),$B$475*(1-$B$482)*(1-$B$483)^((G$494-1)/$B$484-1),0)</f>
        <v>0.0</v>
      </c>
      <c r="H495" s="46">
        <f>IF(AND(H$494&gt;1,MOD(H$494-1,$B$484)=0),$B$475*(1-$B$482)*(1-$B$483)^((H$494-1)/$B$484-1),0)</f>
        <v>0.0</v>
      </c>
      <c r="I495" s="46">
        <f>IF(AND(I$494&gt;1,MOD(I$494-1,$B$484)=0),$B$475*(1-$B$482)*(1-$B$483)^((I$494-1)/$B$484-1),0)</f>
        <v>9.092985672158369</v>
      </c>
      <c r="J495" s="46">
        <f>IF(AND(J$494&gt;1,MOD(J$494-1,$B$484)=0),$B$475*(1-$B$482)*(1-$B$483)^((J$494-1)/$B$484-1),0)</f>
        <v>0.0</v>
      </c>
      <c r="K495" s="46">
        <f>IF(AND(K$494&gt;1,MOD(K$494-1,$B$484)=0),$B$475*(1-$B$482)*(1-$B$483)^((K$494-1)/$B$484-1),0)</f>
        <v>0.0</v>
      </c>
      <c r="L495" s="46">
        <f>IF(AND(L$494&gt;1,MOD(L$494-1,$B$484)=0),$B$475*(1-$B$482)*(1-$B$483)^((L$494-1)/$B$484-1),0)</f>
        <v>6.827404041727403</v>
      </c>
      <c r="M495" s="46">
        <f>IF(AND(M$494&gt;1,MOD(M$494-1,$B$484)=0),$B$475*(1-$B$482)*(1-$B$483)^((M$494-1)/$B$484-1),0)</f>
        <v>0.0</v>
      </c>
      <c r="N495" s="46">
        <f>IF(AND(N$494&gt;1,MOD(N$494-1,$B$484)=0),$B$475*(1-$B$482)*(1-$B$483)^((N$494-1)/$B$484-1),0)</f>
        <v>0.0</v>
      </c>
      <c r="O495" s="46">
        <f>IF(AND(O$494&gt;1,MOD(O$494-1,$B$484)=0),$B$475*(1-$B$482)*(1-$B$483)^((O$494-1)/$B$484-1),0)</f>
        <v>5.1263080829127965</v>
      </c>
      <c r="P495" s="46">
        <f>IF(AND(P$494&gt;1,MOD(P$494-1,$B$484)=0),$B$475*(1-$B$482)*(1-$B$483)^((P$494-1)/$B$484-1),0)</f>
        <v>0.0</v>
      </c>
      <c r="Q495" s="46">
        <f>IF(AND(Q$494&gt;1,MOD(Q$494-1,$B$484)=0),$B$475*(1-$B$482)*(1-$B$483)^((Q$494-1)/$B$484-1),0)</f>
        <v>0.0</v>
      </c>
      <c r="R495" s="46">
        <f>IF(AND(R$494&gt;1,MOD(R$494-1,$B$484)=0),$B$475*(1-$B$482)*(1-$B$483)^((R$494-1)/$B$484-1),0)</f>
        <v>3.849052202026731</v>
      </c>
      <c r="S495" s="46">
        <f>IF(AND(S$494&gt;1,MOD(S$494-1,$B$484)=0),$B$475*(1-$B$482)*(1-$B$483)^((S$494-1)/$B$484-1),0)</f>
        <v>0.0</v>
      </c>
      <c r="T495" s="46">
        <f>IF(AND(T$494&gt;1,MOD(T$494-1,$B$484)=0),$B$475*(1-$B$482)*(1-$B$483)^((T$494-1)/$B$484-1),0)</f>
        <v>0.0</v>
      </c>
      <c r="U495" s="46">
        <f>IF(AND(U$494&gt;1,MOD(U$494-1,$B$484)=0),$B$475*(1-$B$482)*(1-$B$483)^((U$494-1)/$B$484-1),0)</f>
        <v>2.8900336488377323</v>
      </c>
      <c r="V495" s="46">
        <f>IF(AND(V$494&gt;1,MOD(V$494-1,$B$484)=0),$B$475*(1-$B$482)*(1-$B$483)^((V$494-1)/$B$484-1),0)</f>
        <v>0.0</v>
      </c>
      <c r="W495" s="46">
        <f>IF(AND(W$494&gt;1,MOD(W$494-1,$B$484)=0),$B$475*(1-$B$482)*(1-$B$483)^((W$494-1)/$B$484-1),0)</f>
        <v>0.0</v>
      </c>
      <c r="X495" s="46">
        <f>IF(AND(X$494&gt;1,MOD(X$494-1,$B$484)=0),$B$475*(1-$B$482)*(1-$B$483)^((X$494-1)/$B$484-1),0)</f>
        <v>2.169961344513958</v>
      </c>
      <c r="Y495" s="46">
        <f>IF(AND(Y$494&gt;1,MOD(Y$494-1,$B$484)=0),$B$475*(1-$B$482)*(1-$B$483)^((Y$494-1)/$B$484-1),0)</f>
        <v>0.0</v>
      </c>
      <c r="Z495" s="46">
        <f>IF(AND(Z$494&gt;1,MOD(Z$494-1,$B$484)=0),$B$475*(1-$B$482)*(1-$B$483)^((Z$494-1)/$B$484-1),0)</f>
        <v>0.0</v>
      </c>
    </row>
    <row r="496">
      <c r="A496" s="3" t="inlineStr">
        <is>
          <t>Occasional repeat orders</t>
        </is>
      </c>
      <c r="B496" s="48">
        <f>SUM(C496:Z496)</f>
        <v>38.133759999999995</v>
      </c>
      <c r="C496" s="46">
        <f>IF(AND(C$494&gt;=$B$485,MOD(C$494-$B$485,$B$486)=0),$B$476*$B$487^((C$494-$B$485)/$B$486),0)</f>
        <v>0.0</v>
      </c>
      <c r="D496" s="46">
        <f>IF(AND(D$494&gt;=$B$485,MOD(D$494-$B$485,$B$486)=0),$B$476*$B$487^((D$494-$B$485)/$B$486),0)</f>
        <v>0.0</v>
      </c>
      <c r="E496" s="46">
        <f>IF(AND(E$494&gt;=$B$485,MOD(E$494-$B$485,$B$486)=0),$B$476*$B$487^((E$494-$B$485)/$B$486),0)</f>
        <v>0.0</v>
      </c>
      <c r="F496" s="46">
        <f>IF(AND(F$494&gt;=$B$485,MOD(F$494-$B$485,$B$486)=0),$B$476*$B$487^((F$494-$B$485)/$B$486),0)</f>
        <v>16.0</v>
      </c>
      <c r="G496" s="46">
        <f>IF(AND(G$494&gt;=$B$485,MOD(G$494-$B$485,$B$486)=0),$B$476*$B$487^((G$494-$B$485)/$B$486),0)</f>
        <v>0.0</v>
      </c>
      <c r="H496" s="46">
        <f>IF(AND(H$494&gt;=$B$485,MOD(H$494-$B$485,$B$486)=0),$B$476*$B$487^((H$494-$B$485)/$B$486),0)</f>
        <v>0.0</v>
      </c>
      <c r="I496" s="46">
        <f>IF(AND(I$494&gt;=$B$485,MOD(I$494-$B$485,$B$486)=0),$B$476*$B$487^((I$494-$B$485)/$B$486),0)</f>
        <v>0.0</v>
      </c>
      <c r="J496" s="46">
        <f>IF(AND(J$494&gt;=$B$485,MOD(J$494-$B$485,$B$486)=0),$B$476*$B$487^((J$494-$B$485)/$B$486),0)</f>
        <v>9.6</v>
      </c>
      <c r="K496" s="46">
        <f>IF(AND(K$494&gt;=$B$485,MOD(K$494-$B$485,$B$486)=0),$B$476*$B$487^((K$494-$B$485)/$B$486),0)</f>
        <v>0.0</v>
      </c>
      <c r="L496" s="46">
        <f>IF(AND(L$494&gt;=$B$485,MOD(L$494-$B$485,$B$486)=0),$B$476*$B$487^((L$494-$B$485)/$B$486),0)</f>
        <v>0.0</v>
      </c>
      <c r="M496" s="46">
        <f>IF(AND(M$494&gt;=$B$485,MOD(M$494-$B$485,$B$486)=0),$B$476*$B$487^((M$494-$B$485)/$B$486),0)</f>
        <v>0.0</v>
      </c>
      <c r="N496" s="46">
        <f>IF(AND(N$494&gt;=$B$485,MOD(N$494-$B$485,$B$486)=0),$B$476*$B$487^((N$494-$B$485)/$B$486),0)</f>
        <v>5.76</v>
      </c>
      <c r="O496" s="46">
        <f>IF(AND(O$494&gt;=$B$485,MOD(O$494-$B$485,$B$486)=0),$B$476*$B$487^((O$494-$B$485)/$B$486),0)</f>
        <v>0.0</v>
      </c>
      <c r="P496" s="46">
        <f>IF(AND(P$494&gt;=$B$485,MOD(P$494-$B$485,$B$486)=0),$B$476*$B$487^((P$494-$B$485)/$B$486),0)</f>
        <v>0.0</v>
      </c>
      <c r="Q496" s="46">
        <f>IF(AND(Q$494&gt;=$B$485,MOD(Q$494-$B$485,$B$486)=0),$B$476*$B$487^((Q$494-$B$485)/$B$486),0)</f>
        <v>0.0</v>
      </c>
      <c r="R496" s="46">
        <f>IF(AND(R$494&gt;=$B$485,MOD(R$494-$B$485,$B$486)=0),$B$476*$B$487^((R$494-$B$485)/$B$486),0)</f>
        <v>3.4559999999999995</v>
      </c>
      <c r="S496" s="46">
        <f>IF(AND(S$494&gt;=$B$485,MOD(S$494-$B$485,$B$486)=0),$B$476*$B$487^((S$494-$B$485)/$B$486),0)</f>
        <v>0.0</v>
      </c>
      <c r="T496" s="46">
        <f>IF(AND(T$494&gt;=$B$485,MOD(T$494-$B$485,$B$486)=0),$B$476*$B$487^((T$494-$B$485)/$B$486),0)</f>
        <v>0.0</v>
      </c>
      <c r="U496" s="46">
        <f>IF(AND(U$494&gt;=$B$485,MOD(U$494-$B$485,$B$486)=0),$B$476*$B$487^((U$494-$B$485)/$B$486),0)</f>
        <v>0.0</v>
      </c>
      <c r="V496" s="46">
        <f>IF(AND(V$494&gt;=$B$485,MOD(V$494-$B$485,$B$486)=0),$B$476*$B$487^((V$494-$B$485)/$B$486),0)</f>
        <v>2.0736</v>
      </c>
      <c r="W496" s="46">
        <f>IF(AND(W$494&gt;=$B$485,MOD(W$494-$B$485,$B$486)=0),$B$476*$B$487^((W$494-$B$485)/$B$486),0)</f>
        <v>0.0</v>
      </c>
      <c r="X496" s="46">
        <f>IF(AND(X$494&gt;=$B$485,MOD(X$494-$B$485,$B$486)=0),$B$476*$B$487^((X$494-$B$485)/$B$486),0)</f>
        <v>0.0</v>
      </c>
      <c r="Y496" s="46">
        <f>IF(AND(Y$494&gt;=$B$485,MOD(Y$494-$B$485,$B$486)=0),$B$476*$B$487^((Y$494-$B$485)/$B$486),0)</f>
        <v>0.0</v>
      </c>
      <c r="Z496" s="46">
        <f>IF(AND(Z$494&gt;=$B$485,MOD(Z$494-$B$485,$B$486)=0),$B$476*$B$487^((Z$494-$B$485)/$B$486),0)</f>
        <v>1.2441599999999997</v>
      </c>
    </row>
    <row r="497">
      <c r="A497" s="3" t="inlineStr">
        <is>
          <t>Contribution - one-time-only segment</t>
        </is>
      </c>
      <c r="B497" s="30">
        <f>SUM(C497:Z497)</f>
        <v>319.94856480000044</v>
      </c>
      <c r="C497" s="33">
        <f>IF(C$494=1,$B$477*$B$489,0)</f>
        <v>319.94856480000044</v>
      </c>
      <c r="D497" s="33">
        <f>IF(D$494=1,$B$477*$B$489,0)</f>
        <v>0.0</v>
      </c>
      <c r="E497" s="33">
        <f>IF(E$494=1,$B$477*$B$489,0)</f>
        <v>0.0</v>
      </c>
      <c r="F497" s="33">
        <f>IF(F$494=1,$B$477*$B$489,0)</f>
        <v>0.0</v>
      </c>
      <c r="G497" s="33">
        <f>IF(G$494=1,$B$477*$B$489,0)</f>
        <v>0.0</v>
      </c>
      <c r="H497" s="33">
        <f>IF(H$494=1,$B$477*$B$489,0)</f>
        <v>0.0</v>
      </c>
      <c r="I497" s="33">
        <f>IF(I$494=1,$B$477*$B$489,0)</f>
        <v>0.0</v>
      </c>
      <c r="J497" s="33">
        <f>IF(J$494=1,$B$477*$B$489,0)</f>
        <v>0.0</v>
      </c>
      <c r="K497" s="33">
        <f>IF(K$494=1,$B$477*$B$489,0)</f>
        <v>0.0</v>
      </c>
      <c r="L497" s="33">
        <f>IF(L$494=1,$B$477*$B$489,0)</f>
        <v>0.0</v>
      </c>
      <c r="M497" s="33">
        <f>IF(M$494=1,$B$477*$B$489,0)</f>
        <v>0.0</v>
      </c>
      <c r="N497" s="33">
        <f>IF(N$494=1,$B$477*$B$489,0)</f>
        <v>0.0</v>
      </c>
      <c r="O497" s="33">
        <f>IF(O$494=1,$B$477*$B$489,0)</f>
        <v>0.0</v>
      </c>
      <c r="P497" s="33">
        <f>IF(P$494=1,$B$477*$B$489,0)</f>
        <v>0.0</v>
      </c>
      <c r="Q497" s="33">
        <f>IF(Q$494=1,$B$477*$B$489,0)</f>
        <v>0.0</v>
      </c>
      <c r="R497" s="33">
        <f>IF(R$494=1,$B$477*$B$489,0)</f>
        <v>0.0</v>
      </c>
      <c r="S497" s="33">
        <f>IF(S$494=1,$B$477*$B$489,0)</f>
        <v>0.0</v>
      </c>
      <c r="T497" s="33">
        <f>IF(T$494=1,$B$477*$B$489,0)</f>
        <v>0.0</v>
      </c>
      <c r="U497" s="33">
        <f>IF(U$494=1,$B$477*$B$489,0)</f>
        <v>0.0</v>
      </c>
      <c r="V497" s="33">
        <f>IF(V$494=1,$B$477*$B$489,0)</f>
        <v>0.0</v>
      </c>
      <c r="W497" s="33">
        <f>IF(W$494=1,$B$477*$B$489,0)</f>
        <v>0.0</v>
      </c>
      <c r="X497" s="33">
        <f>IF(X$494=1,$B$477*$B$489,0)</f>
        <v>0.0</v>
      </c>
      <c r="Y497" s="33">
        <f>IF(Y$494=1,$B$477*$B$489,0)</f>
        <v>0.0</v>
      </c>
      <c r="Z497" s="33">
        <f>IF(Z$494=1,$B$477*$B$489,0)</f>
        <v>0.0</v>
      </c>
    </row>
    <row r="498">
      <c r="A498" s="3" t="inlineStr">
        <is>
          <t>Contribution - occasional repeat segment</t>
        </is>
      </c>
      <c r="B498" s="30">
        <f>SUM(C498:Z498)</f>
        <v>11.663646083200131</v>
      </c>
      <c r="C498" s="33">
        <f>IF(C$494=1,$B$476*$B$489,0)+C496*$B$481</f>
        <v>79.98714120000011</v>
      </c>
      <c r="D498" s="33">
        <f>IF(D$494=1,$B$476*$B$489,0)+D496*$B$481</f>
        <v>0.0</v>
      </c>
      <c r="E498" s="33">
        <f>IF(E$494=1,$B$476*$B$489,0)+E496*$B$481</f>
        <v>0.0</v>
      </c>
      <c r="F498" s="33">
        <f>IF(F$494=1,$B$476*$B$489,0)+F496*$B$481</f>
        <v>-28.666879999999992</v>
      </c>
      <c r="G498" s="33">
        <f>IF(G$494=1,$B$476*$B$489,0)+G496*$B$481</f>
        <v>0.0</v>
      </c>
      <c r="H498" s="33">
        <f>IF(H$494=1,$B$476*$B$489,0)+H496*$B$481</f>
        <v>0.0</v>
      </c>
      <c r="I498" s="33">
        <f>IF(I$494=1,$B$476*$B$489,0)+I496*$B$481</f>
        <v>0.0</v>
      </c>
      <c r="J498" s="33">
        <f>IF(J$494=1,$B$476*$B$489,0)+J496*$B$481</f>
        <v>-17.200127999999996</v>
      </c>
      <c r="K498" s="33">
        <f>IF(K$494=1,$B$476*$B$489,0)+K496*$B$481</f>
        <v>0.0</v>
      </c>
      <c r="L498" s="33">
        <f>IF(L$494=1,$B$476*$B$489,0)+L496*$B$481</f>
        <v>0.0</v>
      </c>
      <c r="M498" s="33">
        <f>IF(M$494=1,$B$476*$B$489,0)+M496*$B$481</f>
        <v>0.0</v>
      </c>
      <c r="N498" s="33">
        <f>IF(N$494=1,$B$476*$B$489,0)+N496*$B$481</f>
        <v>-10.320076799999997</v>
      </c>
      <c r="O498" s="33">
        <f>IF(O$494=1,$B$476*$B$489,0)+O496*$B$481</f>
        <v>0.0</v>
      </c>
      <c r="P498" s="33">
        <f>IF(P$494=1,$B$476*$B$489,0)+P496*$B$481</f>
        <v>0.0</v>
      </c>
      <c r="Q498" s="33">
        <f>IF(Q$494=1,$B$476*$B$489,0)+Q496*$B$481</f>
        <v>0.0</v>
      </c>
      <c r="R498" s="33">
        <f>IF(R$494=1,$B$476*$B$489,0)+R496*$B$481</f>
        <v>-6.192046079999997</v>
      </c>
      <c r="S498" s="33">
        <f>IF(S$494=1,$B$476*$B$489,0)+S496*$B$481</f>
        <v>0.0</v>
      </c>
      <c r="T498" s="33">
        <f>IF(T$494=1,$B$476*$B$489,0)+T496*$B$481</f>
        <v>0.0</v>
      </c>
      <c r="U498" s="33">
        <f>IF(U$494=1,$B$476*$B$489,0)+U496*$B$481</f>
        <v>0.0</v>
      </c>
      <c r="V498" s="33">
        <f>IF(V$494=1,$B$476*$B$489,0)+V496*$B$481</f>
        <v>-3.7152276479999986</v>
      </c>
      <c r="W498" s="33">
        <f>IF(W$494=1,$B$476*$B$489,0)+W496*$B$481</f>
        <v>0.0</v>
      </c>
      <c r="X498" s="33">
        <f>IF(X$494=1,$B$476*$B$489,0)+X496*$B$481</f>
        <v>0.0</v>
      </c>
      <c r="Y498" s="33">
        <f>IF(Y$494=1,$B$476*$B$489,0)+Y496*$B$481</f>
        <v>0.0</v>
      </c>
      <c r="Z498" s="33">
        <f>IF(Z$494=1,$B$476*$B$489,0)+Z496*$B$481</f>
        <v>-2.229136588799999</v>
      </c>
    </row>
    <row r="499">
      <c r="A499" s="3" t="inlineStr">
        <is>
          <t>Contribution - subscriber segment</t>
        </is>
      </c>
      <c r="B499" s="30">
        <f>SUM(C499:Z499)</f>
        <v>-43.85366562137639</v>
      </c>
      <c r="C499" s="33">
        <f>IF(C$494=1,$B$475*$B$488,0)+C495*$B$480</f>
        <v>99.98392650000014</v>
      </c>
      <c r="D499" s="33">
        <f>IF(D$494=1,$B$475*$B$488,0)+D495*$B$480</f>
        <v>0.0</v>
      </c>
      <c r="E499" s="33">
        <f>IF(E$494=1,$B$475*$B$488,0)+E495*$B$480</f>
        <v>0.0</v>
      </c>
      <c r="F499" s="33">
        <f>IF(F$494=1,$B$475*$B$488,0)+F495*$B$480</f>
        <v>-41.40925424323589</v>
      </c>
      <c r="G499" s="33">
        <f>IF(G$494=1,$B$475*$B$488,0)+G495*$B$480</f>
        <v>0.0</v>
      </c>
      <c r="H499" s="33">
        <f>IF(H$494=1,$B$475*$B$488,0)+H495*$B$480</f>
        <v>0.0</v>
      </c>
      <c r="I499" s="33">
        <f>IF(I$494=1,$B$475*$B$488,0)+I495*$B$480</f>
        <v>-31.091845954495906</v>
      </c>
      <c r="J499" s="33">
        <f>IF(J$494=1,$B$475*$B$488,0)+J495*$B$480</f>
        <v>0.0</v>
      </c>
      <c r="K499" s="33">
        <f>IF(K$494=1,$B$475*$B$488,0)+K495*$B$480</f>
        <v>0.0</v>
      </c>
      <c r="L499" s="33">
        <f>IF(L$494=1,$B$475*$B$488,0)+L495*$B$480</f>
        <v>-23.345092842767436</v>
      </c>
      <c r="M499" s="33">
        <f>IF(M$494=1,$B$475*$B$488,0)+M495*$B$480</f>
        <v>0.0</v>
      </c>
      <c r="N499" s="33">
        <f>IF(N$494=1,$B$475*$B$488,0)+N495*$B$480</f>
        <v>0.0</v>
      </c>
      <c r="O499" s="33">
        <f>IF(O$494=1,$B$475*$B$488,0)+O495*$B$480</f>
        <v>-17.528498006681556</v>
      </c>
      <c r="P499" s="33">
        <f>IF(P$494=1,$B$475*$B$488,0)+P495*$B$480</f>
        <v>0.0</v>
      </c>
      <c r="Q499" s="33">
        <f>IF(Q$494=1,$B$475*$B$488,0)+Q495*$B$480</f>
        <v>0.0</v>
      </c>
      <c r="R499" s="33">
        <f>IF(R$494=1,$B$475*$B$488,0)+R495*$B$480</f>
        <v>-13.16114887353845</v>
      </c>
      <c r="S499" s="33">
        <f>IF(S$494=1,$B$475*$B$488,0)+S495*$B$480</f>
        <v>0.0</v>
      </c>
      <c r="T499" s="33">
        <f>IF(T$494=1,$B$475*$B$488,0)+T495*$B$480</f>
        <v>0.0</v>
      </c>
      <c r="U499" s="33">
        <f>IF(U$494=1,$B$475*$B$488,0)+U495*$B$480</f>
        <v>-9.881955636211135</v>
      </c>
      <c r="V499" s="33">
        <f>IF(V$494=1,$B$475*$B$488,0)+V495*$B$480</f>
        <v>0.0</v>
      </c>
      <c r="W499" s="33">
        <f>IF(W$494=1,$B$475*$B$488,0)+W495*$B$480</f>
        <v>0.0</v>
      </c>
      <c r="X499" s="33">
        <f>IF(X$494=1,$B$475*$B$488,0)+X495*$B$480</f>
        <v>-7.419796564446158</v>
      </c>
      <c r="Y499" s="33">
        <f>IF(Y$494=1,$B$475*$B$488,0)+Y495*$B$480</f>
        <v>0.0</v>
      </c>
      <c r="Z499" s="33">
        <f>IF(Z$494=1,$B$475*$B$488,0)+Z495*$B$480</f>
        <v>0.0</v>
      </c>
    </row>
    <row r="500">
      <c r="A500" s="16" t="inlineStr">
        <is>
          <t>Total contribution before CAC</t>
        </is>
      </c>
      <c r="B500" s="30">
        <f>SUM(C500:Z500)</f>
        <v>287.7585452618242</v>
      </c>
      <c r="C500" s="30">
        <f>SUM(C497:C499)</f>
        <v>499.9196325000007</v>
      </c>
      <c r="D500" s="30">
        <f>SUM(D497:D499)</f>
        <v>0.0</v>
      </c>
      <c r="E500" s="30">
        <f>SUM(E497:E499)</f>
        <v>0.0</v>
      </c>
      <c r="F500" s="30">
        <f>SUM(F497:F499)</f>
        <v>-70.07613424323588</v>
      </c>
      <c r="G500" s="30">
        <f>SUM(G497:G499)</f>
        <v>0.0</v>
      </c>
      <c r="H500" s="30">
        <f>SUM(H497:H499)</f>
        <v>0.0</v>
      </c>
      <c r="I500" s="30">
        <f>SUM(I497:I499)</f>
        <v>-31.091845954495906</v>
      </c>
      <c r="J500" s="30">
        <f>SUM(J497:J499)</f>
        <v>-17.200127999999996</v>
      </c>
      <c r="K500" s="30">
        <f>SUM(K497:K499)</f>
        <v>0.0</v>
      </c>
      <c r="L500" s="30">
        <f>SUM(L497:L499)</f>
        <v>-23.345092842767436</v>
      </c>
      <c r="M500" s="30">
        <f>SUM(M497:M499)</f>
        <v>0.0</v>
      </c>
      <c r="N500" s="30">
        <f>SUM(N497:N499)</f>
        <v>-10.320076799999997</v>
      </c>
      <c r="O500" s="30">
        <f>SUM(O497:O499)</f>
        <v>-17.528498006681556</v>
      </c>
      <c r="P500" s="30">
        <f>SUM(P497:P499)</f>
        <v>0.0</v>
      </c>
      <c r="Q500" s="30">
        <f>SUM(Q497:Q499)</f>
        <v>0.0</v>
      </c>
      <c r="R500" s="30">
        <f>SUM(R497:R499)</f>
        <v>-19.35319495353845</v>
      </c>
      <c r="S500" s="30">
        <f>SUM(S497:S499)</f>
        <v>0.0</v>
      </c>
      <c r="T500" s="30">
        <f>SUM(T497:T499)</f>
        <v>0.0</v>
      </c>
      <c r="U500" s="30">
        <f>SUM(U497:U499)</f>
        <v>-9.881955636211135</v>
      </c>
      <c r="V500" s="30">
        <f>SUM(V497:V499)</f>
        <v>-3.7152276479999986</v>
      </c>
      <c r="W500" s="30">
        <f>SUM(W497:W499)</f>
        <v>0.0</v>
      </c>
      <c r="X500" s="30">
        <f>SUM(X497:X499)</f>
        <v>-7.419796564446158</v>
      </c>
      <c r="Y500" s="30">
        <f>SUM(Y497:Y499)</f>
        <v>0.0</v>
      </c>
      <c r="Z500" s="30">
        <f>SUM(Z497:Z499)</f>
        <v>-2.229136588799999</v>
      </c>
    </row>
    <row r="501">
      <c r="A501" s="3" t="inlineStr">
        <is>
          <t>CAC (paid, month 1)</t>
        </is>
      </c>
      <c r="B501" s="30">
        <f>SUM(C501:Z501)</f>
        <v>-4500.0</v>
      </c>
      <c r="C501" s="33">
        <f>IF(C$494=1,-$B$472*$B$479,0)</f>
        <v>-4500.0</v>
      </c>
      <c r="D501" s="33">
        <f>IF(D$494=1,-$B$472*$B$479,0)</f>
        <v>0.0</v>
      </c>
      <c r="E501" s="33">
        <f>IF(E$494=1,-$B$472*$B$479,0)</f>
        <v>0.0</v>
      </c>
      <c r="F501" s="33">
        <f>IF(F$494=1,-$B$472*$B$479,0)</f>
        <v>0.0</v>
      </c>
      <c r="G501" s="33">
        <f>IF(G$494=1,-$B$472*$B$479,0)</f>
        <v>0.0</v>
      </c>
      <c r="H501" s="33">
        <f>IF(H$494=1,-$B$472*$B$479,0)</f>
        <v>0.0</v>
      </c>
      <c r="I501" s="33">
        <f>IF(I$494=1,-$B$472*$B$479,0)</f>
        <v>0.0</v>
      </c>
      <c r="J501" s="33">
        <f>IF(J$494=1,-$B$472*$B$479,0)</f>
        <v>0.0</v>
      </c>
      <c r="K501" s="33">
        <f>IF(K$494=1,-$B$472*$B$479,0)</f>
        <v>0.0</v>
      </c>
      <c r="L501" s="33">
        <f>IF(L$494=1,-$B$472*$B$479,0)</f>
        <v>0.0</v>
      </c>
      <c r="M501" s="33">
        <f>IF(M$494=1,-$B$472*$B$479,0)</f>
        <v>0.0</v>
      </c>
      <c r="N501" s="33">
        <f>IF(N$494=1,-$B$472*$B$479,0)</f>
        <v>0.0</v>
      </c>
      <c r="O501" s="33">
        <f>IF(O$494=1,-$B$472*$B$479,0)</f>
        <v>0.0</v>
      </c>
      <c r="P501" s="33">
        <f>IF(P$494=1,-$B$472*$B$479,0)</f>
        <v>0.0</v>
      </c>
      <c r="Q501" s="33">
        <f>IF(Q$494=1,-$B$472*$B$479,0)</f>
        <v>0.0</v>
      </c>
      <c r="R501" s="33">
        <f>IF(R$494=1,-$B$472*$B$479,0)</f>
        <v>0.0</v>
      </c>
      <c r="S501" s="33">
        <f>IF(S$494=1,-$B$472*$B$479,0)</f>
        <v>0.0</v>
      </c>
      <c r="T501" s="33">
        <f>IF(T$494=1,-$B$472*$B$479,0)</f>
        <v>0.0</v>
      </c>
      <c r="U501" s="33">
        <f>IF(U$494=1,-$B$472*$B$479,0)</f>
        <v>0.0</v>
      </c>
      <c r="V501" s="33">
        <f>IF(V$494=1,-$B$472*$B$479,0)</f>
        <v>0.0</v>
      </c>
      <c r="W501" s="33">
        <f>IF(W$494=1,-$B$472*$B$479,0)</f>
        <v>0.0</v>
      </c>
      <c r="X501" s="33">
        <f>IF(X$494=1,-$B$472*$B$479,0)</f>
        <v>0.0</v>
      </c>
      <c r="Y501" s="33">
        <f>IF(Y$494=1,-$B$472*$B$479,0)</f>
        <v>0.0</v>
      </c>
      <c r="Z501" s="33">
        <f>IF(Z$494=1,-$B$472*$B$479,0)</f>
        <v>0.0</v>
      </c>
    </row>
    <row r="502">
      <c r="A502" s="3" t="inlineStr">
        <is>
          <t>Net contribution after CAC</t>
        </is>
      </c>
      <c r="B502" s="30">
        <f>SUM(C502:Z502)</f>
        <v>-4212.241454738176</v>
      </c>
      <c r="C502" s="33">
        <f>C500+C501</f>
        <v>-4000.0803674999993</v>
      </c>
      <c r="D502" s="33">
        <f>D500+D501</f>
        <v>0.0</v>
      </c>
      <c r="E502" s="33">
        <f>E500+E501</f>
        <v>0.0</v>
      </c>
      <c r="F502" s="33">
        <f>F500+F501</f>
        <v>-70.07613424323588</v>
      </c>
      <c r="G502" s="33">
        <f>G500+G501</f>
        <v>0.0</v>
      </c>
      <c r="H502" s="33">
        <f>H500+H501</f>
        <v>0.0</v>
      </c>
      <c r="I502" s="33">
        <f>I500+I501</f>
        <v>-31.091845954495906</v>
      </c>
      <c r="J502" s="33">
        <f>J500+J501</f>
        <v>-17.200127999999996</v>
      </c>
      <c r="K502" s="33">
        <f>K500+K501</f>
        <v>0.0</v>
      </c>
      <c r="L502" s="33">
        <f>L500+L501</f>
        <v>-23.345092842767436</v>
      </c>
      <c r="M502" s="33">
        <f>M500+M501</f>
        <v>0.0</v>
      </c>
      <c r="N502" s="33">
        <f>N500+N501</f>
        <v>-10.320076799999997</v>
      </c>
      <c r="O502" s="33">
        <f>O500+O501</f>
        <v>-17.528498006681556</v>
      </c>
      <c r="P502" s="33">
        <f>P500+P501</f>
        <v>0.0</v>
      </c>
      <c r="Q502" s="33">
        <f>Q500+Q501</f>
        <v>0.0</v>
      </c>
      <c r="R502" s="33">
        <f>R500+R501</f>
        <v>-19.35319495353845</v>
      </c>
      <c r="S502" s="33">
        <f>S500+S501</f>
        <v>0.0</v>
      </c>
      <c r="T502" s="33">
        <f>T500+T501</f>
        <v>0.0</v>
      </c>
      <c r="U502" s="33">
        <f>U500+U501</f>
        <v>-9.881955636211135</v>
      </c>
      <c r="V502" s="33">
        <f>V500+V501</f>
        <v>-3.7152276479999986</v>
      </c>
      <c r="W502" s="33">
        <f>W500+W501</f>
        <v>0.0</v>
      </c>
      <c r="X502" s="33">
        <f>X500+X501</f>
        <v>-7.419796564446158</v>
      </c>
      <c r="Y502" s="33">
        <f>Y500+Y501</f>
        <v>0.0</v>
      </c>
      <c r="Z502" s="33">
        <f>Z500+Z501</f>
        <v>-2.229136588799999</v>
      </c>
    </row>
    <row r="503">
      <c r="A503" s="16" t="inlineStr">
        <is>
          <t>CUMULATIVE contribution after CAC</t>
        </is>
      </c>
      <c r="C503" s="49">
        <f>C502</f>
        <v>-4000.0803674999993</v>
      </c>
      <c r="D503" s="49">
        <f>C503+D502</f>
        <v>-4000.0803674999993</v>
      </c>
      <c r="E503" s="49">
        <f>D503+E502</f>
        <v>-4000.0803674999993</v>
      </c>
      <c r="F503" s="49">
        <f>E503+F502</f>
        <v>-4070.1565017432354</v>
      </c>
      <c r="G503" s="49">
        <f>F503+G502</f>
        <v>-4070.1565017432354</v>
      </c>
      <c r="H503" s="49">
        <f>G503+H502</f>
        <v>-4070.1565017432354</v>
      </c>
      <c r="I503" s="49">
        <f>H503+I502</f>
        <v>-4101.248347697731</v>
      </c>
      <c r="J503" s="49">
        <f>I503+J502</f>
        <v>-4118.448475697732</v>
      </c>
      <c r="K503" s="49">
        <f>J503+K502</f>
        <v>-4118.448475697732</v>
      </c>
      <c r="L503" s="49">
        <f>K503+L502</f>
        <v>-4141.793568540499</v>
      </c>
      <c r="M503" s="49">
        <f>L503+M502</f>
        <v>-4141.793568540499</v>
      </c>
      <c r="N503" s="49">
        <f>M503+N502</f>
        <v>-4152.113645340499</v>
      </c>
      <c r="O503" s="49">
        <f>N503+O502</f>
        <v>-4169.6421433471805</v>
      </c>
      <c r="P503" s="49">
        <f>O503+P502</f>
        <v>-4169.6421433471805</v>
      </c>
      <c r="Q503" s="49">
        <f>P503+Q502</f>
        <v>-4169.6421433471805</v>
      </c>
      <c r="R503" s="49">
        <f>Q503+R502</f>
        <v>-4188.995338300719</v>
      </c>
      <c r="S503" s="49">
        <f>R503+S502</f>
        <v>-4188.995338300719</v>
      </c>
      <c r="T503" s="49">
        <f>S503+T502</f>
        <v>-4188.995338300719</v>
      </c>
      <c r="U503" s="49">
        <f>T503+U502</f>
        <v>-4198.87729393693</v>
      </c>
      <c r="V503" s="49">
        <f>U503+V502</f>
        <v>-4202.59252158493</v>
      </c>
      <c r="W503" s="49">
        <f>V503+W502</f>
        <v>-4202.59252158493</v>
      </c>
      <c r="X503" s="49">
        <f>W503+X502</f>
        <v>-4210.012318149376</v>
      </c>
      <c r="Y503" s="49">
        <f>X503+Y502</f>
        <v>-4210.012318149376</v>
      </c>
      <c r="Z503" s="49">
        <f>Y503+Z502</f>
        <v>-4212.241454738177</v>
      </c>
    </row>
    <row r="504">
      <c r="A504" s="3" t="inlineStr">
        <is>
          <t>Cumulative contribution before CAC, per customer</t>
        </is>
      </c>
      <c r="C504" s="26">
        <f>SUM($C500:C500)/$B$472</f>
        <v>4.999196325000007</v>
      </c>
      <c r="D504" s="26">
        <f>SUM($C500:D500)/$B$472</f>
        <v>4.999196325000007</v>
      </c>
      <c r="E504" s="26">
        <f>SUM($C500:E500)/$B$472</f>
        <v>4.999196325000007</v>
      </c>
      <c r="F504" s="26">
        <f>SUM($C500:F500)/$B$472</f>
        <v>4.298434982567649</v>
      </c>
      <c r="G504" s="26">
        <f>SUM($C500:G500)/$B$472</f>
        <v>4.298434982567649</v>
      </c>
      <c r="H504" s="26">
        <f>SUM($C500:H500)/$B$472</f>
        <v>4.298434982567649</v>
      </c>
      <c r="I504" s="26">
        <f>SUM($C500:I500)/$B$472</f>
        <v>3.9875165230226894</v>
      </c>
      <c r="J504" s="26">
        <f>SUM($C500:J500)/$B$472</f>
        <v>3.8155152430226895</v>
      </c>
      <c r="K504" s="26">
        <f>SUM($C500:K500)/$B$472</f>
        <v>3.8155152430226895</v>
      </c>
      <c r="L504" s="26">
        <f>SUM($C500:L500)/$B$472</f>
        <v>3.5820643145950153</v>
      </c>
      <c r="M504" s="26">
        <f>SUM($C500:M500)/$B$472</f>
        <v>3.5820643145950153</v>
      </c>
      <c r="N504" s="26">
        <f>SUM($C500:N500)/$B$472</f>
        <v>3.4788635465950146</v>
      </c>
      <c r="O504" s="26">
        <f>SUM($C500:O500)/$B$472</f>
        <v>3.3035785665281994</v>
      </c>
      <c r="P504" s="26">
        <f>SUM($C500:P500)/$B$472</f>
        <v>3.3035785665281994</v>
      </c>
      <c r="Q504" s="26">
        <f>SUM($C500:Q500)/$B$472</f>
        <v>3.3035785665281994</v>
      </c>
      <c r="R504" s="26">
        <f>SUM($C500:R500)/$B$472</f>
        <v>3.1100466169928147</v>
      </c>
      <c r="S504" s="26">
        <f>SUM($C500:S500)/$B$472</f>
        <v>3.1100466169928147</v>
      </c>
      <c r="T504" s="26">
        <f>SUM($C500:T500)/$B$472</f>
        <v>3.1100466169928147</v>
      </c>
      <c r="U504" s="26">
        <f>SUM($C500:U500)/$B$472</f>
        <v>3.011227060630704</v>
      </c>
      <c r="V504" s="26">
        <f>SUM($C500:V500)/$B$472</f>
        <v>2.974074784150704</v>
      </c>
      <c r="W504" s="26">
        <f>SUM($C500:W500)/$B$472</f>
        <v>2.974074784150704</v>
      </c>
      <c r="X504" s="26">
        <f>SUM($C500:X500)/$B$472</f>
        <v>2.899876818506242</v>
      </c>
      <c r="Y504" s="26">
        <f>SUM($C500:Y500)/$B$472</f>
        <v>2.899876818506242</v>
      </c>
      <c r="Z504" s="26">
        <f>SUM($C500:Z500)/$B$472</f>
        <v>2.8775854526182423</v>
      </c>
    </row>
    <row r="505">
      <c r="A505" s="3" t="inlineStr">
        <is>
          <t>Gross revenue (reference only - NOT used for LTV)</t>
        </is>
      </c>
      <c r="B505" s="30">
        <f>SUM(C505:Z505)</f>
        <v>6789.875545287955</v>
      </c>
      <c r="C505" s="50">
        <f>IF(C$494=1,$B$472*$B$490,0)+C495*$B$491+C496*$B$492</f>
        <v>5498.75</v>
      </c>
      <c r="D505" s="50">
        <f>IF(D$494=1,$B$472*$B$490,0)+D495*$B$491+D496*$B$492</f>
        <v>0.0</v>
      </c>
      <c r="E505" s="50">
        <f>IF(E$494=1,$B$472*$B$490,0)+E495*$B$491+E496*$B$492</f>
        <v>0.0</v>
      </c>
      <c r="F505" s="50">
        <f>IF(F$494=1,$B$472*$B$490,0)+F495*$B$491+F496*$B$492</f>
        <v>457.01966621257657</v>
      </c>
      <c r="G505" s="50">
        <f>IF(G$494=1,$B$472*$B$490,0)+G495*$B$491+G496*$B$492</f>
        <v>0.0</v>
      </c>
      <c r="H505" s="50">
        <f>IF(H$494=1,$B$472*$B$490,0)+H495*$B$491+H496*$B$492</f>
        <v>0.0</v>
      </c>
      <c r="I505" s="50">
        <f>IF(I$494=1,$B$472*$B$490,0)+I495*$B$491+I496*$B$492</f>
        <v>139.0408439129736</v>
      </c>
      <c r="J505" s="50">
        <f>IF(J$494=1,$B$472*$B$490,0)+J495*$B$491+J496*$B$492</f>
        <v>163.10399999999998</v>
      </c>
      <c r="K505" s="50">
        <f>IF(K$494=1,$B$472*$B$490,0)+K495*$B$491+K496*$B$492</f>
        <v>0.0</v>
      </c>
      <c r="L505" s="50">
        <f>IF(L$494=1,$B$472*$B$490,0)+L495*$B$491+L496*$B$492</f>
        <v>104.39783520205371</v>
      </c>
      <c r="M505" s="50">
        <f>IF(M$494=1,$B$472*$B$490,0)+M495*$B$491+M496*$B$492</f>
        <v>0.0</v>
      </c>
      <c r="N505" s="50">
        <f>IF(N$494=1,$B$472*$B$490,0)+N495*$B$491+N496*$B$492</f>
        <v>97.8624</v>
      </c>
      <c r="O505" s="50">
        <f>IF(O$494=1,$B$472*$B$490,0)+O495*$B$491+O496*$B$492</f>
        <v>78.38637689581957</v>
      </c>
      <c r="P505" s="50">
        <f>IF(P$494=1,$B$472*$B$490,0)+P495*$B$491+P496*$B$492</f>
        <v>0.0</v>
      </c>
      <c r="Q505" s="50">
        <f>IF(Q$494=1,$B$472*$B$490,0)+Q495*$B$491+Q496*$B$492</f>
        <v>0.0</v>
      </c>
      <c r="R505" s="50">
        <f>IF(R$494=1,$B$472*$B$490,0)+R495*$B$491+R496*$B$492</f>
        <v>117.57329722119073</v>
      </c>
      <c r="S505" s="50">
        <f>IF(S$494=1,$B$472*$B$490,0)+S495*$B$491+S496*$B$492</f>
        <v>0.0</v>
      </c>
      <c r="T505" s="50">
        <f>IF(T$494=1,$B$472*$B$490,0)+T495*$B$491+T496*$B$492</f>
        <v>0.0</v>
      </c>
      <c r="U505" s="50">
        <f>IF(U$494=1,$B$472*$B$490,0)+U495*$B$491+U496*$B$492</f>
        <v>44.19150452437776</v>
      </c>
      <c r="V505" s="50">
        <f>IF(V$494=1,$B$472*$B$490,0)+V495*$B$491+V496*$B$492</f>
        <v>35.230464</v>
      </c>
      <c r="W505" s="50">
        <f>IF(W$494=1,$B$472*$B$490,0)+W495*$B$491+W496*$B$492</f>
        <v>0.0</v>
      </c>
      <c r="X505" s="50">
        <f>IF(X$494=1,$B$472*$B$490,0)+X495*$B$491+X496*$B$492</f>
        <v>33.18087891896293</v>
      </c>
      <c r="Y505" s="50">
        <f>IF(Y$494=1,$B$472*$B$490,0)+Y495*$B$491+Y496*$B$492</f>
        <v>0.0</v>
      </c>
      <c r="Z505" s="50">
        <f>IF(Z$494=1,$B$472*$B$490,0)+Z495*$B$491+Z496*$B$492</f>
        <v>21.138278399999994</v>
      </c>
    </row>
    <row r="506">
      <c r="A506" s="3" t="inlineStr">
        <is>
          <t>Payback helper (month if cumulative &gt;= 0, else 99)</t>
        </is>
      </c>
      <c r="C506" s="51">
        <f>IF(C503&gt;=0,C$494,99)</f>
        <v>99.0</v>
      </c>
      <c r="D506" s="51">
        <f>IF(D503&gt;=0,D$494,99)</f>
        <v>99.0</v>
      </c>
      <c r="E506" s="51">
        <f>IF(E503&gt;=0,E$494,99)</f>
        <v>99.0</v>
      </c>
      <c r="F506" s="51">
        <f>IF(F503&gt;=0,F$494,99)</f>
        <v>99.0</v>
      </c>
      <c r="G506" s="51">
        <f>IF(G503&gt;=0,G$494,99)</f>
        <v>99.0</v>
      </c>
      <c r="H506" s="51">
        <f>IF(H503&gt;=0,H$494,99)</f>
        <v>99.0</v>
      </c>
      <c r="I506" s="51">
        <f>IF(I503&gt;=0,I$494,99)</f>
        <v>99.0</v>
      </c>
      <c r="J506" s="51">
        <f>IF(J503&gt;=0,J$494,99)</f>
        <v>99.0</v>
      </c>
      <c r="K506" s="51">
        <f>IF(K503&gt;=0,K$494,99)</f>
        <v>99.0</v>
      </c>
      <c r="L506" s="51">
        <f>IF(L503&gt;=0,L$494,99)</f>
        <v>99.0</v>
      </c>
      <c r="M506" s="51">
        <f>IF(M503&gt;=0,M$494,99)</f>
        <v>99.0</v>
      </c>
      <c r="N506" s="51">
        <f>IF(N503&gt;=0,N$494,99)</f>
        <v>99.0</v>
      </c>
      <c r="O506" s="51">
        <f>IF(O503&gt;=0,O$494,99)</f>
        <v>99.0</v>
      </c>
      <c r="P506" s="51">
        <f>IF(P503&gt;=0,P$494,99)</f>
        <v>99.0</v>
      </c>
      <c r="Q506" s="51">
        <f>IF(Q503&gt;=0,Q$494,99)</f>
        <v>99.0</v>
      </c>
      <c r="R506" s="51">
        <f>IF(R503&gt;=0,R$494,99)</f>
        <v>99.0</v>
      </c>
      <c r="S506" s="51">
        <f>IF(S503&gt;=0,S$494,99)</f>
        <v>99.0</v>
      </c>
      <c r="T506" s="51">
        <f>IF(T503&gt;=0,T$494,99)</f>
        <v>99.0</v>
      </c>
      <c r="U506" s="51">
        <f>IF(U503&gt;=0,U$494,99)</f>
        <v>99.0</v>
      </c>
      <c r="V506" s="51">
        <f>IF(V503&gt;=0,V$494,99)</f>
        <v>99.0</v>
      </c>
      <c r="W506" s="51">
        <f>IF(W503&gt;=0,W$494,99)</f>
        <v>99.0</v>
      </c>
      <c r="X506" s="51">
        <f>IF(X503&gt;=0,X$494,99)</f>
        <v>99.0</v>
      </c>
      <c r="Y506" s="51">
        <f>IF(Y503&gt;=0,Y$494,99)</f>
        <v>99.0</v>
      </c>
      <c r="Z506" s="51">
        <f>IF(Z503&gt;=0,Z$494,99)</f>
        <v>99.0</v>
      </c>
    </row>
    <row r="508">
      <c r="A508" s="16" t="inlineStr">
        <is>
          <t>FIRST-ORDER contribution before ads, per customer</t>
        </is>
      </c>
      <c r="B508" s="42">
        <f>$B$478</f>
        <v>4.999196325000007</v>
      </c>
    </row>
    <row r="509">
      <c r="A509" s="16" t="inlineStr">
        <is>
          <t>FIRST-ORDER contribution after CAC, per customer</t>
        </is>
      </c>
      <c r="B509" s="42">
        <f>$B$478-$B$479</f>
        <v>-40.00080367499999</v>
      </c>
    </row>
    <row r="510">
      <c r="A510" s="16" t="inlineStr">
        <is>
          <t>Is the first order profitable after CAC?</t>
        </is>
      </c>
      <c r="B510" s="52" t="str">
        <f>IF(B509&gt;=0,"YES - first order covers CAC","NO - first order loses money after CAC")</f>
        <v>NO - first order loses money after CAC</v>
      </c>
    </row>
    <row r="511">
      <c r="A511" s="3" t="inlineStr">
        <is>
          <t>Payback month (numeric; 99 = none within 24 months)</t>
        </is>
      </c>
      <c r="B511" s="41">
        <f>MIN(C506:Z506)</f>
        <v>99.0</v>
      </c>
    </row>
    <row r="512">
      <c r="A512" s="16" t="inlineStr">
        <is>
          <t>Payback (display)</t>
        </is>
      </c>
      <c r="B512" s="52" t="str">
        <f>IF(B511&gt;24,"No payback within 24 months","Month "&amp;B511)</f>
        <v>No payback within 24 months</v>
      </c>
    </row>
    <row r="513">
      <c r="A513" s="16" t="inlineStr">
        <is>
          <t>12-month contribution LTV per customer (before CAC)</t>
        </is>
      </c>
      <c r="B513" s="42">
        <f>SUM(C500:N500)/$B$472</f>
        <v>3.4788635465950146</v>
      </c>
    </row>
    <row r="514">
      <c r="A514" s="16" t="inlineStr">
        <is>
          <t>24-month contribution LTV per customer (before CAC)</t>
        </is>
      </c>
      <c r="B514" s="42">
        <f>SUM(C500:Z500)/$B$472</f>
        <v>2.8775854526182423</v>
      </c>
    </row>
    <row r="515">
      <c r="A515" s="16" t="inlineStr">
        <is>
          <t>12-month contribution LTV net of CAC</t>
        </is>
      </c>
      <c r="B515" s="42">
        <f>B513-$B$479</f>
        <v>-41.521136453404985</v>
      </c>
    </row>
    <row r="516">
      <c r="A516" s="3" t="inlineStr">
        <is>
          <t>24-month contribution LTV net of CAC</t>
        </is>
      </c>
      <c r="B516" s="26">
        <f>B514-$B$479</f>
        <v>-42.12241454738176</v>
      </c>
    </row>
    <row r="517">
      <c r="A517" s="16" t="inlineStr">
        <is>
          <t>12-month LTV:CAC (contribution basis)</t>
        </is>
      </c>
      <c r="B517" s="53">
        <f>IFERROR(B513/$B$479,0)</f>
        <v>0.07730807881322255</v>
      </c>
    </row>
    <row r="518">
      <c r="A518" s="3" t="inlineStr">
        <is>
          <t>24-month LTV:CAC</t>
        </is>
      </c>
      <c r="B518" s="37">
        <f>IFERROR(B514/$B$479,0)</f>
        <v>0.06394634339151649</v>
      </c>
    </row>
    <row r="519">
      <c r="A519" s="3" t="inlineStr">
        <is>
          <t>12-month LTV : blended CAC (info only)</t>
        </is>
      </c>
      <c r="B519" s="37">
        <f>IFERROR(B513/($B$479*Inputs!$E$121),0)</f>
        <v>0.09095068095673241</v>
      </c>
    </row>
    <row r="520">
      <c r="A520" s="3" t="inlineStr">
        <is>
          <t>Cohort contribution from subscription renewals, months 1-24</t>
        </is>
      </c>
      <c r="B520" s="33">
        <f>B495*$B$480</f>
        <v>-143.83759212137653</v>
      </c>
    </row>
    <row r="521">
      <c r="A521" s="3" t="inlineStr">
        <is>
          <t>Renewal contribution per subscriber, 12 months</t>
        </is>
      </c>
      <c r="B521" s="26">
        <f>IFERROR(SUM(C495:N495)*$B$480/$B$475,0)</f>
        <v>-4.7923096520249615</v>
      </c>
    </row>
    <row r="522">
      <c r="A522" s="3" t="inlineStr">
        <is>
          <t>Repeat contribution per occasional buyer, 12 months</t>
        </is>
      </c>
      <c r="B522" s="26">
        <f>IFERROR(SUM(C496:N496)*$B$481/$B$476,0)</f>
        <v>-3.5116927999999987</v>
      </c>
    </row>
    <row r="523">
      <c r="A523" s="3" t="inlineStr">
        <is>
          <t>Orders per acquired customer, 12 months</t>
        </is>
      </c>
      <c r="B523" s="11">
        <f>($B$472+SUM(C495:N495)+SUM(C496:N496))/$B$472</f>
        <v>1.5939075961857327</v>
      </c>
    </row>
    <row r="524">
      <c r="A524" s="3" t="inlineStr">
        <is>
          <t>Renewal contribution per subscriber, 24 months</t>
        </is>
      </c>
      <c r="B524" s="26">
        <f>IFERROR(SUM(C495:Z495)*$B$480/$B$475,0)</f>
        <v>-7.191879606068826</v>
      </c>
    </row>
    <row r="525">
      <c r="A525" s="3" t="inlineStr">
        <is>
          <t>Repeat contribution per occasional buyer, 24 months</t>
        </is>
      </c>
      <c r="B525" s="26">
        <f>IFERROR(SUM(C496:Z496)*$B$481/$B$476,0)</f>
        <v>-4.2702184447999985</v>
      </c>
    </row>
    <row r="528">
      <c r="A528" s="43" t="inlineStr">
        <is>
          <t>Engine cohort: BASE + returns shock (sensitivity)</t>
        </is>
      </c>
      <c r="B528" s="44" t="n"/>
      <c r="C528" s="44" t="n"/>
      <c r="D528" s="44" t="n"/>
      <c r="E528" s="44" t="n"/>
      <c r="F528" s="44" t="n"/>
      <c r="G528" s="44" t="n"/>
      <c r="H528" s="44" t="n"/>
      <c r="I528" s="44" t="n"/>
      <c r="J528" s="44" t="n"/>
      <c r="K528" s="44" t="n"/>
      <c r="L528" s="44" t="n"/>
      <c r="M528" s="44" t="n"/>
      <c r="N528" s="44" t="n"/>
      <c r="O528" s="44" t="n"/>
      <c r="P528" s="44" t="n"/>
      <c r="Q528" s="44" t="n"/>
      <c r="R528" s="44" t="n"/>
      <c r="S528" s="44" t="n"/>
      <c r="T528" s="44" t="n"/>
      <c r="U528" s="44" t="n"/>
      <c r="V528" s="44" t="n"/>
      <c r="W528" s="44" t="n"/>
      <c r="X528" s="44" t="n"/>
      <c r="Y528" s="44" t="n"/>
      <c r="Z528" s="44" t="n"/>
    </row>
    <row r="530">
      <c r="A530" s="3" t="inlineStr">
        <is>
          <t>Customers acquired (N)</t>
        </is>
      </c>
      <c r="B530" s="12">
        <f>Inputs!$E$9</f>
        <v>100.0</v>
      </c>
    </row>
    <row r="531">
      <c r="A531" s="3" t="inlineStr">
        <is>
          <t>Subscription attach (after any shock)</t>
        </is>
      </c>
      <c r="B531" s="34">
        <f>MIN(1,Inputs!$E$133*Cat_UnitEcon!$BD$10)</f>
        <v>0.2</v>
      </c>
    </row>
    <row r="532">
      <c r="A532" s="3" t="inlineStr">
        <is>
          <t>Non-subscriber 12-month repeat rate</t>
        </is>
      </c>
      <c r="B532" s="45">
        <f>Inputs!$E$139</f>
        <v>0.2</v>
      </c>
    </row>
    <row r="533">
      <c r="A533" s="3" t="inlineStr">
        <is>
          <t>Segment: subscribers</t>
        </is>
      </c>
      <c r="B533" s="46">
        <f>$B$530*$B$531</f>
        <v>20.0</v>
      </c>
    </row>
    <row r="534">
      <c r="A534" s="3" t="inlineStr">
        <is>
          <t>Segment: occasional repeat buyers</t>
        </is>
      </c>
      <c r="B534" s="46">
        <f>$B$530*(1-$B$531)*$B$532</f>
        <v>16.0</v>
      </c>
    </row>
    <row r="535">
      <c r="A535" s="3" t="inlineStr">
        <is>
          <t>Segment: one-time only</t>
        </is>
      </c>
      <c r="B535" s="46">
        <f>$B$530-$B$533-$B$534</f>
        <v>64.0</v>
      </c>
    </row>
    <row r="536">
      <c r="A536" s="3" t="inlineStr">
        <is>
          <t>First-order contribution before ads, per customer (mix)</t>
        </is>
      </c>
      <c r="B536" s="39">
        <f>Cat_UnitEcon!$BD$57</f>
        <v>0.9997526500000031</v>
      </c>
    </row>
    <row r="537">
      <c r="A537" s="3" t="inlineStr">
        <is>
          <t>Paid CAC per new customer</t>
        </is>
      </c>
      <c r="B537" s="39">
        <f>Cat_UnitEcon!$BD$60</f>
        <v>45.0</v>
      </c>
    </row>
    <row r="538">
      <c r="A538" s="3" t="inlineStr">
        <is>
          <t>Contribution per subscription renewal order</t>
        </is>
      </c>
      <c r="B538" s="39">
        <f>Cat_UnitEcon!$BG$50</f>
        <v>-3.6128320000000027</v>
      </c>
    </row>
    <row r="539">
      <c r="A539" s="3" t="inlineStr">
        <is>
          <t>Contribution per occasional repeat order</t>
        </is>
      </c>
      <c r="B539" s="39">
        <f>Cat_UnitEcon!$BH$50</f>
        <v>-2.0021800000000027</v>
      </c>
    </row>
    <row r="540">
      <c r="A540" s="3" t="inlineStr">
        <is>
          <t>Churn before first renewal (incl. involuntary)</t>
        </is>
      </c>
      <c r="B540" s="34">
        <f>1-(1-MIN(1,Inputs!$E$135*Cat_UnitEcon!$BD$11))*(1-MIN(1,Inputs!$E$137*Cat_UnitEcon!$BD$11))^$B$542</f>
        <v>0.26564000725000003</v>
      </c>
    </row>
    <row r="541">
      <c r="A541" s="3" t="inlineStr">
        <is>
          <t>Churn per later cycle (incl. involuntary)</t>
        </is>
      </c>
      <c r="B541" s="34">
        <f>1-(1-MIN(1,Inputs!$E$136*Cat_UnitEcon!$BD$11))*(1-MIN(1,Inputs!$E$137*Cat_UnitEcon!$BD$11))^$B$542</f>
        <v>0.16772534154999996</v>
      </c>
    </row>
    <row r="542">
      <c r="A542" s="3" t="inlineStr">
        <is>
          <t>Renewal cadence (months)</t>
        </is>
      </c>
      <c r="B542" s="12">
        <f>Inputs!$E$134</f>
        <v>3.0</v>
      </c>
    </row>
    <row r="543">
      <c r="A543" s="3" t="inlineStr">
        <is>
          <t>Occasional: month of first repeat</t>
        </is>
      </c>
      <c r="B543" s="12">
        <f>Inputs!$E$140</f>
        <v>4.0</v>
      </c>
    </row>
    <row r="544">
      <c r="A544" s="3" t="inlineStr">
        <is>
          <t>Occasional: months between orders</t>
        </is>
      </c>
      <c r="B544" s="12">
        <f>Inputs!$E$141</f>
        <v>4.0</v>
      </c>
    </row>
    <row r="545">
      <c r="A545" s="3" t="inlineStr">
        <is>
          <t>Occasional: probability of each further order</t>
        </is>
      </c>
      <c r="B545" s="45">
        <f>Inputs!$E$142</f>
        <v>0.6</v>
      </c>
    </row>
    <row r="546">
      <c r="A546" s="3" t="inlineStr">
        <is>
          <t>First-order contribution - subscriber</t>
        </is>
      </c>
      <c r="B546" s="39">
        <f>Cat_UnitEcon!$BD$63</f>
        <v>0.9997526500000031</v>
      </c>
    </row>
    <row r="547">
      <c r="A547" s="3" t="inlineStr">
        <is>
          <t>First-order contribution - non-subscriber</t>
        </is>
      </c>
      <c r="B547" s="39">
        <f>Cat_UnitEcon!$BD$64</f>
        <v>0.9997526500000031</v>
      </c>
    </row>
    <row r="548">
      <c r="A548" s="3" t="inlineStr">
        <is>
          <t>First-order gross revenue (mix) - reference</t>
        </is>
      </c>
      <c r="B548" s="39">
        <f>Cat_UnitEcon!$BD$59</f>
        <v>54.9875</v>
      </c>
    </row>
    <row r="549">
      <c r="A549" s="3" t="inlineStr">
        <is>
          <t>Renewal order gross revenue - reference</t>
        </is>
      </c>
      <c r="B549" s="39">
        <f>Cat_UnitEcon!$BG$35</f>
        <v>15.290999999999999</v>
      </c>
    </row>
    <row r="550">
      <c r="A550" s="3" t="inlineStr">
        <is>
          <t>Occasional order gross revenue - reference</t>
        </is>
      </c>
      <c r="B550" s="39">
        <f>Cat_UnitEcon!$BH$35</f>
        <v>16.99</v>
      </c>
    </row>
    <row r="552">
      <c r="A552" s="4" t="inlineStr">
        <is>
          <t>Month</t>
        </is>
      </c>
      <c r="B552" s="4" t="inlineStr">
        <is>
          <t>Total 1-24</t>
        </is>
      </c>
      <c r="C552" s="47" t="n">
        <v>1</v>
      </c>
      <c r="D552" s="47" t="n">
        <v>2</v>
      </c>
      <c r="E552" s="47" t="n">
        <v>3</v>
      </c>
      <c r="F552" s="47" t="n">
        <v>4</v>
      </c>
      <c r="G552" s="47" t="n">
        <v>5</v>
      </c>
      <c r="H552" s="47" t="n">
        <v>6</v>
      </c>
      <c r="I552" s="47" t="n">
        <v>7</v>
      </c>
      <c r="J552" s="47" t="n">
        <v>8</v>
      </c>
      <c r="K552" s="47" t="n">
        <v>9</v>
      </c>
      <c r="L552" s="47" t="n">
        <v>10</v>
      </c>
      <c r="M552" s="47" t="n">
        <v>11</v>
      </c>
      <c r="N552" s="47" t="n">
        <v>12</v>
      </c>
      <c r="O552" s="47" t="n">
        <v>13</v>
      </c>
      <c r="P552" s="47" t="n">
        <v>14</v>
      </c>
      <c r="Q552" s="47" t="n">
        <v>15</v>
      </c>
      <c r="R552" s="47" t="n">
        <v>16</v>
      </c>
      <c r="S552" s="47" t="n">
        <v>17</v>
      </c>
      <c r="T552" s="47" t="n">
        <v>18</v>
      </c>
      <c r="U552" s="47" t="n">
        <v>19</v>
      </c>
      <c r="V552" s="47" t="n">
        <v>20</v>
      </c>
      <c r="W552" s="47" t="n">
        <v>21</v>
      </c>
      <c r="X552" s="47" t="n">
        <v>22</v>
      </c>
      <c r="Y552" s="47" t="n">
        <v>23</v>
      </c>
      <c r="Z552" s="47" t="n">
        <v>24</v>
      </c>
    </row>
    <row r="553">
      <c r="A553" s="3" t="inlineStr">
        <is>
          <t>Subscription renewal orders (paying subscribers)</t>
        </is>
      </c>
      <c r="B553" s="48">
        <f>SUM(C553:Z553)</f>
        <v>63.345135726058</v>
      </c>
      <c r="C553" s="46">
        <f>IF(AND(C$552&gt;1,MOD(C$552-1,$B$542)=0),$B$533*(1-$B$540)*(1-$B$541)^((C$552-1)/$B$542-1),0)</f>
        <v>0.0</v>
      </c>
      <c r="D553" s="46">
        <f>IF(AND(D$552&gt;1,MOD(D$552-1,$B$542)=0),$B$533*(1-$B$540)*(1-$B$541)^((D$552-1)/$B$542-1),0)</f>
        <v>0.0</v>
      </c>
      <c r="E553" s="46">
        <f>IF(AND(E$552&gt;1,MOD(E$552-1,$B$542)=0),$B$533*(1-$B$540)*(1-$B$541)^((E$552-1)/$B$542-1),0)</f>
        <v>0.0</v>
      </c>
      <c r="F553" s="46">
        <f>IF(AND(F$552&gt;1,MOD(F$552-1,$B$542)=0),$B$533*(1-$B$540)*(1-$B$541)^((F$552-1)/$B$542-1),0)</f>
        <v>14.687199855</v>
      </c>
      <c r="G553" s="46">
        <f>IF(AND(G$552&gt;1,MOD(G$552-1,$B$542)=0),$B$533*(1-$B$540)*(1-$B$541)^((G$552-1)/$B$542-1),0)</f>
        <v>0.0</v>
      </c>
      <c r="H553" s="46">
        <f>IF(AND(H$552&gt;1,MOD(H$552-1,$B$542)=0),$B$533*(1-$B$540)*(1-$B$541)^((H$552-1)/$B$542-1),0)</f>
        <v>0.0</v>
      </c>
      <c r="I553" s="46">
        <f>IF(AND(I$552&gt;1,MOD(I$552-1,$B$542)=0),$B$533*(1-$B$540)*(1-$B$541)^((I$552-1)/$B$542-1),0)</f>
        <v>12.223784242907014</v>
      </c>
      <c r="J553" s="46">
        <f>IF(AND(J$552&gt;1,MOD(J$552-1,$B$542)=0),$B$533*(1-$B$540)*(1-$B$541)^((J$552-1)/$B$542-1),0)</f>
        <v>0.0</v>
      </c>
      <c r="K553" s="46">
        <f>IF(AND(K$552&gt;1,MOD(K$552-1,$B$542)=0),$B$533*(1-$B$540)*(1-$B$541)^((K$552-1)/$B$542-1),0)</f>
        <v>0.0</v>
      </c>
      <c r="L553" s="46">
        <f>IF(AND(L$552&gt;1,MOD(L$552-1,$B$542)=0),$B$533*(1-$B$540)*(1-$B$541)^((L$552-1)/$B$542-1),0)</f>
        <v>10.173545855731927</v>
      </c>
      <c r="M553" s="46">
        <f>IF(AND(M$552&gt;1,MOD(M$552-1,$B$542)=0),$B$533*(1-$B$540)*(1-$B$541)^((M$552-1)/$B$542-1),0)</f>
        <v>0.0</v>
      </c>
      <c r="N553" s="46">
        <f>IF(AND(N$552&gt;1,MOD(N$552-1,$B$542)=0),$B$533*(1-$B$540)*(1-$B$541)^((N$552-1)/$B$542-1),0)</f>
        <v>0.0</v>
      </c>
      <c r="O553" s="46">
        <f>IF(AND(O$552&gt;1,MOD(O$552-1,$B$542)=0),$B$533*(1-$B$540)*(1-$B$541)^((O$552-1)/$B$542-1),0)</f>
        <v>8.467184402304705</v>
      </c>
      <c r="P553" s="46">
        <f>IF(AND(P$552&gt;1,MOD(P$552-1,$B$542)=0),$B$533*(1-$B$540)*(1-$B$541)^((P$552-1)/$B$542-1),0)</f>
        <v>0.0</v>
      </c>
      <c r="Q553" s="46">
        <f>IF(AND(Q$552&gt;1,MOD(Q$552-1,$B$542)=0),$B$533*(1-$B$540)*(1-$B$541)^((Q$552-1)/$B$542-1),0)</f>
        <v>0.0</v>
      </c>
      <c r="R553" s="46">
        <f>IF(AND(R$552&gt;1,MOD(R$552-1,$B$542)=0),$B$533*(1-$B$540)*(1-$B$541)^((R$552-1)/$B$542-1),0)</f>
        <v>7.047023006461314</v>
      </c>
      <c r="S553" s="46">
        <f>IF(AND(S$552&gt;1,MOD(S$552-1,$B$542)=0),$B$533*(1-$B$540)*(1-$B$541)^((S$552-1)/$B$542-1),0)</f>
        <v>0.0</v>
      </c>
      <c r="T553" s="46">
        <f>IF(AND(T$552&gt;1,MOD(T$552-1,$B$542)=0),$B$533*(1-$B$540)*(1-$B$541)^((T$552-1)/$B$542-1),0)</f>
        <v>0.0</v>
      </c>
      <c r="U553" s="46">
        <f>IF(AND(U$552&gt;1,MOD(U$552-1,$B$542)=0),$B$533*(1-$B$540)*(1-$B$541)^((U$552-1)/$B$542-1),0)</f>
        <v>5.865058665791883</v>
      </c>
      <c r="V553" s="46">
        <f>IF(AND(V$552&gt;1,MOD(V$552-1,$B$542)=0),$B$533*(1-$B$540)*(1-$B$541)^((V$552-1)/$B$542-1),0)</f>
        <v>0.0</v>
      </c>
      <c r="W553" s="46">
        <f>IF(AND(W$552&gt;1,MOD(W$552-1,$B$542)=0),$B$533*(1-$B$540)*(1-$B$541)^((W$552-1)/$B$542-1),0)</f>
        <v>0.0</v>
      </c>
      <c r="X553" s="46">
        <f>IF(AND(X$552&gt;1,MOD(X$552-1,$B$542)=0),$B$533*(1-$B$540)*(1-$B$541)^((X$552-1)/$B$542-1),0)</f>
        <v>4.8813396978611525</v>
      </c>
      <c r="Y553" s="46">
        <f>IF(AND(Y$552&gt;1,MOD(Y$552-1,$B$542)=0),$B$533*(1-$B$540)*(1-$B$541)^((Y$552-1)/$B$542-1),0)</f>
        <v>0.0</v>
      </c>
      <c r="Z553" s="46">
        <f>IF(AND(Z$552&gt;1,MOD(Z$552-1,$B$542)=0),$B$533*(1-$B$540)*(1-$B$541)^((Z$552-1)/$B$542-1),0)</f>
        <v>0.0</v>
      </c>
    </row>
    <row r="554">
      <c r="A554" s="3" t="inlineStr">
        <is>
          <t>Occasional repeat orders</t>
        </is>
      </c>
      <c r="B554" s="48">
        <f>SUM(C554:Z554)</f>
        <v>38.133759999999995</v>
      </c>
      <c r="C554" s="46">
        <f>IF(AND(C$552&gt;=$B$543,MOD(C$552-$B$543,$B$544)=0),$B$534*$B$545^((C$552-$B$543)/$B$544),0)</f>
        <v>0.0</v>
      </c>
      <c r="D554" s="46">
        <f>IF(AND(D$552&gt;=$B$543,MOD(D$552-$B$543,$B$544)=0),$B$534*$B$545^((D$552-$B$543)/$B$544),0)</f>
        <v>0.0</v>
      </c>
      <c r="E554" s="46">
        <f>IF(AND(E$552&gt;=$B$543,MOD(E$552-$B$543,$B$544)=0),$B$534*$B$545^((E$552-$B$543)/$B$544),0)</f>
        <v>0.0</v>
      </c>
      <c r="F554" s="46">
        <f>IF(AND(F$552&gt;=$B$543,MOD(F$552-$B$543,$B$544)=0),$B$534*$B$545^((F$552-$B$543)/$B$544),0)</f>
        <v>16.0</v>
      </c>
      <c r="G554" s="46">
        <f>IF(AND(G$552&gt;=$B$543,MOD(G$552-$B$543,$B$544)=0),$B$534*$B$545^((G$552-$B$543)/$B$544),0)</f>
        <v>0.0</v>
      </c>
      <c r="H554" s="46">
        <f>IF(AND(H$552&gt;=$B$543,MOD(H$552-$B$543,$B$544)=0),$B$534*$B$545^((H$552-$B$543)/$B$544),0)</f>
        <v>0.0</v>
      </c>
      <c r="I554" s="46">
        <f>IF(AND(I$552&gt;=$B$543,MOD(I$552-$B$543,$B$544)=0),$B$534*$B$545^((I$552-$B$543)/$B$544),0)</f>
        <v>0.0</v>
      </c>
      <c r="J554" s="46">
        <f>IF(AND(J$552&gt;=$B$543,MOD(J$552-$B$543,$B$544)=0),$B$534*$B$545^((J$552-$B$543)/$B$544),0)</f>
        <v>9.6</v>
      </c>
      <c r="K554" s="46">
        <f>IF(AND(K$552&gt;=$B$543,MOD(K$552-$B$543,$B$544)=0),$B$534*$B$545^((K$552-$B$543)/$B$544),0)</f>
        <v>0.0</v>
      </c>
      <c r="L554" s="46">
        <f>IF(AND(L$552&gt;=$B$543,MOD(L$552-$B$543,$B$544)=0),$B$534*$B$545^((L$552-$B$543)/$B$544),0)</f>
        <v>0.0</v>
      </c>
      <c r="M554" s="46">
        <f>IF(AND(M$552&gt;=$B$543,MOD(M$552-$B$543,$B$544)=0),$B$534*$B$545^((M$552-$B$543)/$B$544),0)</f>
        <v>0.0</v>
      </c>
      <c r="N554" s="46">
        <f>IF(AND(N$552&gt;=$B$543,MOD(N$552-$B$543,$B$544)=0),$B$534*$B$545^((N$552-$B$543)/$B$544),0)</f>
        <v>5.76</v>
      </c>
      <c r="O554" s="46">
        <f>IF(AND(O$552&gt;=$B$543,MOD(O$552-$B$543,$B$544)=0),$B$534*$B$545^((O$552-$B$543)/$B$544),0)</f>
        <v>0.0</v>
      </c>
      <c r="P554" s="46">
        <f>IF(AND(P$552&gt;=$B$543,MOD(P$552-$B$543,$B$544)=0),$B$534*$B$545^((P$552-$B$543)/$B$544),0)</f>
        <v>0.0</v>
      </c>
      <c r="Q554" s="46">
        <f>IF(AND(Q$552&gt;=$B$543,MOD(Q$552-$B$543,$B$544)=0),$B$534*$B$545^((Q$552-$B$543)/$B$544),0)</f>
        <v>0.0</v>
      </c>
      <c r="R554" s="46">
        <f>IF(AND(R$552&gt;=$B$543,MOD(R$552-$B$543,$B$544)=0),$B$534*$B$545^((R$552-$B$543)/$B$544),0)</f>
        <v>3.4559999999999995</v>
      </c>
      <c r="S554" s="46">
        <f>IF(AND(S$552&gt;=$B$543,MOD(S$552-$B$543,$B$544)=0),$B$534*$B$545^((S$552-$B$543)/$B$544),0)</f>
        <v>0.0</v>
      </c>
      <c r="T554" s="46">
        <f>IF(AND(T$552&gt;=$B$543,MOD(T$552-$B$543,$B$544)=0),$B$534*$B$545^((T$552-$B$543)/$B$544),0)</f>
        <v>0.0</v>
      </c>
      <c r="U554" s="46">
        <f>IF(AND(U$552&gt;=$B$543,MOD(U$552-$B$543,$B$544)=0),$B$534*$B$545^((U$552-$B$543)/$B$544),0)</f>
        <v>0.0</v>
      </c>
      <c r="V554" s="46">
        <f>IF(AND(V$552&gt;=$B$543,MOD(V$552-$B$543,$B$544)=0),$B$534*$B$545^((V$552-$B$543)/$B$544),0)</f>
        <v>2.0736</v>
      </c>
      <c r="W554" s="46">
        <f>IF(AND(W$552&gt;=$B$543,MOD(W$552-$B$543,$B$544)=0),$B$534*$B$545^((W$552-$B$543)/$B$544),0)</f>
        <v>0.0</v>
      </c>
      <c r="X554" s="46">
        <f>IF(AND(X$552&gt;=$B$543,MOD(X$552-$B$543,$B$544)=0),$B$534*$B$545^((X$552-$B$543)/$B$544),0)</f>
        <v>0.0</v>
      </c>
      <c r="Y554" s="46">
        <f>IF(AND(Y$552&gt;=$B$543,MOD(Y$552-$B$543,$B$544)=0),$B$534*$B$545^((Y$552-$B$543)/$B$544),0)</f>
        <v>0.0</v>
      </c>
      <c r="Z554" s="46">
        <f>IF(AND(Z$552&gt;=$B$543,MOD(Z$552-$B$543,$B$544)=0),$B$534*$B$545^((Z$552-$B$543)/$B$544),0)</f>
        <v>1.2441599999999997</v>
      </c>
    </row>
    <row r="555">
      <c r="A555" s="3" t="inlineStr">
        <is>
          <t>Contribution - one-time-only segment</t>
        </is>
      </c>
      <c r="B555" s="30">
        <f>SUM(C555:Z555)</f>
        <v>63.9841696000002</v>
      </c>
      <c r="C555" s="33">
        <f>IF(C$552=1,$B$535*$B$547,0)</f>
        <v>63.9841696000002</v>
      </c>
      <c r="D555" s="33">
        <f>IF(D$552=1,$B$535*$B$547,0)</f>
        <v>0.0</v>
      </c>
      <c r="E555" s="33">
        <f>IF(E$552=1,$B$535*$B$547,0)</f>
        <v>0.0</v>
      </c>
      <c r="F555" s="33">
        <f>IF(F$552=1,$B$535*$B$547,0)</f>
        <v>0.0</v>
      </c>
      <c r="G555" s="33">
        <f>IF(G$552=1,$B$535*$B$547,0)</f>
        <v>0.0</v>
      </c>
      <c r="H555" s="33">
        <f>IF(H$552=1,$B$535*$B$547,0)</f>
        <v>0.0</v>
      </c>
      <c r="I555" s="33">
        <f>IF(I$552=1,$B$535*$B$547,0)</f>
        <v>0.0</v>
      </c>
      <c r="J555" s="33">
        <f>IF(J$552=1,$B$535*$B$547,0)</f>
        <v>0.0</v>
      </c>
      <c r="K555" s="33">
        <f>IF(K$552=1,$B$535*$B$547,0)</f>
        <v>0.0</v>
      </c>
      <c r="L555" s="33">
        <f>IF(L$552=1,$B$535*$B$547,0)</f>
        <v>0.0</v>
      </c>
      <c r="M555" s="33">
        <f>IF(M$552=1,$B$535*$B$547,0)</f>
        <v>0.0</v>
      </c>
      <c r="N555" s="33">
        <f>IF(N$552=1,$B$535*$B$547,0)</f>
        <v>0.0</v>
      </c>
      <c r="O555" s="33">
        <f>IF(O$552=1,$B$535*$B$547,0)</f>
        <v>0.0</v>
      </c>
      <c r="P555" s="33">
        <f>IF(P$552=1,$B$535*$B$547,0)</f>
        <v>0.0</v>
      </c>
      <c r="Q555" s="33">
        <f>IF(Q$552=1,$B$535*$B$547,0)</f>
        <v>0.0</v>
      </c>
      <c r="R555" s="33">
        <f>IF(R$552=1,$B$535*$B$547,0)</f>
        <v>0.0</v>
      </c>
      <c r="S555" s="33">
        <f>IF(S$552=1,$B$535*$B$547,0)</f>
        <v>0.0</v>
      </c>
      <c r="T555" s="33">
        <f>IF(T$552=1,$B$535*$B$547,0)</f>
        <v>0.0</v>
      </c>
      <c r="U555" s="33">
        <f>IF(U$552=1,$B$535*$B$547,0)</f>
        <v>0.0</v>
      </c>
      <c r="V555" s="33">
        <f>IF(V$552=1,$B$535*$B$547,0)</f>
        <v>0.0</v>
      </c>
      <c r="W555" s="33">
        <f>IF(W$552=1,$B$535*$B$547,0)</f>
        <v>0.0</v>
      </c>
      <c r="X555" s="33">
        <f>IF(X$552=1,$B$535*$B$547,0)</f>
        <v>0.0</v>
      </c>
      <c r="Y555" s="33">
        <f>IF(Y$552=1,$B$535*$B$547,0)</f>
        <v>0.0</v>
      </c>
      <c r="Z555" s="33">
        <f>IF(Z$552=1,$B$535*$B$547,0)</f>
        <v>0.0</v>
      </c>
    </row>
    <row r="556">
      <c r="A556" s="3" t="inlineStr">
        <is>
          <t>Contribution - occasional repeat segment</t>
        </is>
      </c>
      <c r="B556" s="30">
        <f>SUM(C556:Z556)</f>
        <v>-60.354609196800055</v>
      </c>
      <c r="C556" s="33">
        <f>IF(C$552=1,$B$534*$B$547,0)+C554*$B$539</f>
        <v>15.99604240000005</v>
      </c>
      <c r="D556" s="33">
        <f>IF(D$552=1,$B$534*$B$547,0)+D554*$B$539</f>
        <v>0.0</v>
      </c>
      <c r="E556" s="33">
        <f>IF(E$552=1,$B$534*$B$547,0)+E554*$B$539</f>
        <v>0.0</v>
      </c>
      <c r="F556" s="33">
        <f>IF(F$552=1,$B$534*$B$547,0)+F554*$B$539</f>
        <v>-32.034880000000044</v>
      </c>
      <c r="G556" s="33">
        <f>IF(G$552=1,$B$534*$B$547,0)+G554*$B$539</f>
        <v>0.0</v>
      </c>
      <c r="H556" s="33">
        <f>IF(H$552=1,$B$534*$B$547,0)+H554*$B$539</f>
        <v>0.0</v>
      </c>
      <c r="I556" s="33">
        <f>IF(I$552=1,$B$534*$B$547,0)+I554*$B$539</f>
        <v>0.0</v>
      </c>
      <c r="J556" s="33">
        <f>IF(J$552=1,$B$534*$B$547,0)+J554*$B$539</f>
        <v>-19.220928000000026</v>
      </c>
      <c r="K556" s="33">
        <f>IF(K$552=1,$B$534*$B$547,0)+K554*$B$539</f>
        <v>0.0</v>
      </c>
      <c r="L556" s="33">
        <f>IF(L$552=1,$B$534*$B$547,0)+L554*$B$539</f>
        <v>0.0</v>
      </c>
      <c r="M556" s="33">
        <f>IF(M$552=1,$B$534*$B$547,0)+M554*$B$539</f>
        <v>0.0</v>
      </c>
      <c r="N556" s="33">
        <f>IF(N$552=1,$B$534*$B$547,0)+N554*$B$539</f>
        <v>-11.532556800000016</v>
      </c>
      <c r="O556" s="33">
        <f>IF(O$552=1,$B$534*$B$547,0)+O554*$B$539</f>
        <v>0.0</v>
      </c>
      <c r="P556" s="33">
        <f>IF(P$552=1,$B$534*$B$547,0)+P554*$B$539</f>
        <v>0.0</v>
      </c>
      <c r="Q556" s="33">
        <f>IF(Q$552=1,$B$534*$B$547,0)+Q554*$B$539</f>
        <v>0.0</v>
      </c>
      <c r="R556" s="33">
        <f>IF(R$552=1,$B$534*$B$547,0)+R554*$B$539</f>
        <v>-6.919534080000009</v>
      </c>
      <c r="S556" s="33">
        <f>IF(S$552=1,$B$534*$B$547,0)+S554*$B$539</f>
        <v>0.0</v>
      </c>
      <c r="T556" s="33">
        <f>IF(T$552=1,$B$534*$B$547,0)+T554*$B$539</f>
        <v>0.0</v>
      </c>
      <c r="U556" s="33">
        <f>IF(U$552=1,$B$534*$B$547,0)+U554*$B$539</f>
        <v>0.0</v>
      </c>
      <c r="V556" s="33">
        <f>IF(V$552=1,$B$534*$B$547,0)+V554*$B$539</f>
        <v>-4.151720448000005</v>
      </c>
      <c r="W556" s="33">
        <f>IF(W$552=1,$B$534*$B$547,0)+W554*$B$539</f>
        <v>0.0</v>
      </c>
      <c r="X556" s="33">
        <f>IF(X$552=1,$B$534*$B$547,0)+X554*$B$539</f>
        <v>0.0</v>
      </c>
      <c r="Y556" s="33">
        <f>IF(Y$552=1,$B$534*$B$547,0)+Y554*$B$539</f>
        <v>0.0</v>
      </c>
      <c r="Z556" s="33">
        <f>IF(Z$552=1,$B$534*$B$547,0)+Z554*$B$539</f>
        <v>-2.491032268800003</v>
      </c>
    </row>
    <row r="557">
      <c r="A557" s="3" t="inlineStr">
        <is>
          <t>Contribution - subscriber segment</t>
        </is>
      </c>
      <c r="B557" s="30">
        <f>SUM(C557:Z557)</f>
        <v>-208.86028039544567</v>
      </c>
      <c r="C557" s="33">
        <f>IF(C$552=1,$B$533*$B$546,0)+C553*$B$538</f>
        <v>19.995053000000063</v>
      </c>
      <c r="D557" s="33">
        <f>IF(D$552=1,$B$533*$B$546,0)+D553*$B$538</f>
        <v>0.0</v>
      </c>
      <c r="E557" s="33">
        <f>IF(E$552=1,$B$533*$B$546,0)+E553*$B$538</f>
        <v>0.0</v>
      </c>
      <c r="F557" s="33">
        <f>IF(F$552=1,$B$533*$B$546,0)+F553*$B$538</f>
        <v>-53.062385626539395</v>
      </c>
      <c r="G557" s="33">
        <f>IF(G$552=1,$B$533*$B$546,0)+G553*$B$538</f>
        <v>0.0</v>
      </c>
      <c r="H557" s="33">
        <f>IF(H$552=1,$B$533*$B$546,0)+H553*$B$538</f>
        <v>0.0</v>
      </c>
      <c r="I557" s="33">
        <f>IF(I$552=1,$B$533*$B$546,0)+I553*$B$538</f>
        <v>-44.16247887387026</v>
      </c>
      <c r="J557" s="33">
        <f>IF(J$552=1,$B$533*$B$546,0)+J553*$B$538</f>
        <v>0.0</v>
      </c>
      <c r="K557" s="33">
        <f>IF(K$552=1,$B$533*$B$546,0)+K553*$B$538</f>
        <v>0.0</v>
      </c>
      <c r="L557" s="33">
        <f>IF(L$552=1,$B$533*$B$546,0)+L553*$B$538</f>
        <v>-36.755312021055715</v>
      </c>
      <c r="M557" s="33">
        <f>IF(M$552=1,$B$533*$B$546,0)+M553*$B$538</f>
        <v>0.0</v>
      </c>
      <c r="N557" s="33">
        <f>IF(N$552=1,$B$533*$B$546,0)+N553*$B$538</f>
        <v>0.0</v>
      </c>
      <c r="O557" s="33">
        <f>IF(O$552=1,$B$533*$B$546,0)+O553*$B$538</f>
        <v>-30.590514758547332</v>
      </c>
      <c r="P557" s="33">
        <f>IF(P$552=1,$B$533*$B$546,0)+P553*$B$538</f>
        <v>0.0</v>
      </c>
      <c r="Q557" s="33">
        <f>IF(Q$552=1,$B$533*$B$546,0)+Q553*$B$538</f>
        <v>0.0</v>
      </c>
      <c r="R557" s="33">
        <f>IF(R$552=1,$B$533*$B$546,0)+R553*$B$538</f>
        <v>-25.459710222479664</v>
      </c>
      <c r="S557" s="33">
        <f>IF(S$552=1,$B$533*$B$546,0)+S553*$B$538</f>
        <v>0.0</v>
      </c>
      <c r="T557" s="33">
        <f>IF(T$552=1,$B$533*$B$546,0)+T553*$B$538</f>
        <v>0.0</v>
      </c>
      <c r="U557" s="33">
        <f>IF(U$552=1,$B$533*$B$546,0)+U553*$B$538</f>
        <v>-21.18947162965024</v>
      </c>
      <c r="V557" s="33">
        <f>IF(V$552=1,$B$533*$B$546,0)+V553*$B$538</f>
        <v>0.0</v>
      </c>
      <c r="W557" s="33">
        <f>IF(W$552=1,$B$533*$B$546,0)+W553*$B$538</f>
        <v>0.0</v>
      </c>
      <c r="X557" s="33">
        <f>IF(X$552=1,$B$533*$B$546,0)+X553*$B$538</f>
        <v>-17.635460263303116</v>
      </c>
      <c r="Y557" s="33">
        <f>IF(Y$552=1,$B$533*$B$546,0)+Y553*$B$538</f>
        <v>0.0</v>
      </c>
      <c r="Z557" s="33">
        <f>IF(Z$552=1,$B$533*$B$546,0)+Z553*$B$538</f>
        <v>0.0</v>
      </c>
    </row>
    <row r="558">
      <c r="A558" s="16" t="inlineStr">
        <is>
          <t>Total contribution before CAC</t>
        </is>
      </c>
      <c r="B558" s="30">
        <f>SUM(C558:Z558)</f>
        <v>-205.23071999224553</v>
      </c>
      <c r="C558" s="30">
        <f>SUM(C555:C557)</f>
        <v>99.97526500000032</v>
      </c>
      <c r="D558" s="30">
        <f>SUM(D555:D557)</f>
        <v>0.0</v>
      </c>
      <c r="E558" s="30">
        <f>SUM(E555:E557)</f>
        <v>0.0</v>
      </c>
      <c r="F558" s="30">
        <f>SUM(F555:F557)</f>
        <v>-85.09726562653944</v>
      </c>
      <c r="G558" s="30">
        <f>SUM(G555:G557)</f>
        <v>0.0</v>
      </c>
      <c r="H558" s="30">
        <f>SUM(H555:H557)</f>
        <v>0.0</v>
      </c>
      <c r="I558" s="30">
        <f>SUM(I555:I557)</f>
        <v>-44.16247887387026</v>
      </c>
      <c r="J558" s="30">
        <f>SUM(J555:J557)</f>
        <v>-19.220928000000026</v>
      </c>
      <c r="K558" s="30">
        <f>SUM(K555:K557)</f>
        <v>0.0</v>
      </c>
      <c r="L558" s="30">
        <f>SUM(L555:L557)</f>
        <v>-36.755312021055715</v>
      </c>
      <c r="M558" s="30">
        <f>SUM(M555:M557)</f>
        <v>0.0</v>
      </c>
      <c r="N558" s="30">
        <f>SUM(N555:N557)</f>
        <v>-11.532556800000016</v>
      </c>
      <c r="O558" s="30">
        <f>SUM(O555:O557)</f>
        <v>-30.590514758547332</v>
      </c>
      <c r="P558" s="30">
        <f>SUM(P555:P557)</f>
        <v>0.0</v>
      </c>
      <c r="Q558" s="30">
        <f>SUM(Q555:Q557)</f>
        <v>0.0</v>
      </c>
      <c r="R558" s="30">
        <f>SUM(R555:R557)</f>
        <v>-32.37924430247968</v>
      </c>
      <c r="S558" s="30">
        <f>SUM(S555:S557)</f>
        <v>0.0</v>
      </c>
      <c r="T558" s="30">
        <f>SUM(T555:T557)</f>
        <v>0.0</v>
      </c>
      <c r="U558" s="30">
        <f>SUM(U555:U557)</f>
        <v>-21.18947162965024</v>
      </c>
      <c r="V558" s="30">
        <f>SUM(V555:V557)</f>
        <v>-4.151720448000005</v>
      </c>
      <c r="W558" s="30">
        <f>SUM(W555:W557)</f>
        <v>0.0</v>
      </c>
      <c r="X558" s="30">
        <f>SUM(X555:X557)</f>
        <v>-17.635460263303116</v>
      </c>
      <c r="Y558" s="30">
        <f>SUM(Y555:Y557)</f>
        <v>0.0</v>
      </c>
      <c r="Z558" s="30">
        <f>SUM(Z555:Z557)</f>
        <v>-2.491032268800003</v>
      </c>
    </row>
    <row r="559">
      <c r="A559" s="3" t="inlineStr">
        <is>
          <t>CAC (paid, month 1)</t>
        </is>
      </c>
      <c r="B559" s="30">
        <f>SUM(C559:Z559)</f>
        <v>-4500.0</v>
      </c>
      <c r="C559" s="33">
        <f>IF(C$552=1,-$B$530*$B$537,0)</f>
        <v>-4500.0</v>
      </c>
      <c r="D559" s="33">
        <f>IF(D$552=1,-$B$530*$B$537,0)</f>
        <v>0.0</v>
      </c>
      <c r="E559" s="33">
        <f>IF(E$552=1,-$B$530*$B$537,0)</f>
        <v>0.0</v>
      </c>
      <c r="F559" s="33">
        <f>IF(F$552=1,-$B$530*$B$537,0)</f>
        <v>0.0</v>
      </c>
      <c r="G559" s="33">
        <f>IF(G$552=1,-$B$530*$B$537,0)</f>
        <v>0.0</v>
      </c>
      <c r="H559" s="33">
        <f>IF(H$552=1,-$B$530*$B$537,0)</f>
        <v>0.0</v>
      </c>
      <c r="I559" s="33">
        <f>IF(I$552=1,-$B$530*$B$537,0)</f>
        <v>0.0</v>
      </c>
      <c r="J559" s="33">
        <f>IF(J$552=1,-$B$530*$B$537,0)</f>
        <v>0.0</v>
      </c>
      <c r="K559" s="33">
        <f>IF(K$552=1,-$B$530*$B$537,0)</f>
        <v>0.0</v>
      </c>
      <c r="L559" s="33">
        <f>IF(L$552=1,-$B$530*$B$537,0)</f>
        <v>0.0</v>
      </c>
      <c r="M559" s="33">
        <f>IF(M$552=1,-$B$530*$B$537,0)</f>
        <v>0.0</v>
      </c>
      <c r="N559" s="33">
        <f>IF(N$552=1,-$B$530*$B$537,0)</f>
        <v>0.0</v>
      </c>
      <c r="O559" s="33">
        <f>IF(O$552=1,-$B$530*$B$537,0)</f>
        <v>0.0</v>
      </c>
      <c r="P559" s="33">
        <f>IF(P$552=1,-$B$530*$B$537,0)</f>
        <v>0.0</v>
      </c>
      <c r="Q559" s="33">
        <f>IF(Q$552=1,-$B$530*$B$537,0)</f>
        <v>0.0</v>
      </c>
      <c r="R559" s="33">
        <f>IF(R$552=1,-$B$530*$B$537,0)</f>
        <v>0.0</v>
      </c>
      <c r="S559" s="33">
        <f>IF(S$552=1,-$B$530*$B$537,0)</f>
        <v>0.0</v>
      </c>
      <c r="T559" s="33">
        <f>IF(T$552=1,-$B$530*$B$537,0)</f>
        <v>0.0</v>
      </c>
      <c r="U559" s="33">
        <f>IF(U$552=1,-$B$530*$B$537,0)</f>
        <v>0.0</v>
      </c>
      <c r="V559" s="33">
        <f>IF(V$552=1,-$B$530*$B$537,0)</f>
        <v>0.0</v>
      </c>
      <c r="W559" s="33">
        <f>IF(W$552=1,-$B$530*$B$537,0)</f>
        <v>0.0</v>
      </c>
      <c r="X559" s="33">
        <f>IF(X$552=1,-$B$530*$B$537,0)</f>
        <v>0.0</v>
      </c>
      <c r="Y559" s="33">
        <f>IF(Y$552=1,-$B$530*$B$537,0)</f>
        <v>0.0</v>
      </c>
      <c r="Z559" s="33">
        <f>IF(Z$552=1,-$B$530*$B$537,0)</f>
        <v>0.0</v>
      </c>
    </row>
    <row r="560">
      <c r="A560" s="3" t="inlineStr">
        <is>
          <t>Net contribution after CAC</t>
        </is>
      </c>
      <c r="B560" s="30">
        <f>SUM(C560:Z560)</f>
        <v>-4705.230719992246</v>
      </c>
      <c r="C560" s="33">
        <f>C558+C559</f>
        <v>-4400.024735</v>
      </c>
      <c r="D560" s="33">
        <f>D558+D559</f>
        <v>0.0</v>
      </c>
      <c r="E560" s="33">
        <f>E558+E559</f>
        <v>0.0</v>
      </c>
      <c r="F560" s="33">
        <f>F558+F559</f>
        <v>-85.09726562653944</v>
      </c>
      <c r="G560" s="33">
        <f>G558+G559</f>
        <v>0.0</v>
      </c>
      <c r="H560" s="33">
        <f>H558+H559</f>
        <v>0.0</v>
      </c>
      <c r="I560" s="33">
        <f>I558+I559</f>
        <v>-44.16247887387026</v>
      </c>
      <c r="J560" s="33">
        <f>J558+J559</f>
        <v>-19.220928000000026</v>
      </c>
      <c r="K560" s="33">
        <f>K558+K559</f>
        <v>0.0</v>
      </c>
      <c r="L560" s="33">
        <f>L558+L559</f>
        <v>-36.755312021055715</v>
      </c>
      <c r="M560" s="33">
        <f>M558+M559</f>
        <v>0.0</v>
      </c>
      <c r="N560" s="33">
        <f>N558+N559</f>
        <v>-11.532556800000016</v>
      </c>
      <c r="O560" s="33">
        <f>O558+O559</f>
        <v>-30.590514758547332</v>
      </c>
      <c r="P560" s="33">
        <f>P558+P559</f>
        <v>0.0</v>
      </c>
      <c r="Q560" s="33">
        <f>Q558+Q559</f>
        <v>0.0</v>
      </c>
      <c r="R560" s="33">
        <f>R558+R559</f>
        <v>-32.37924430247968</v>
      </c>
      <c r="S560" s="33">
        <f>S558+S559</f>
        <v>0.0</v>
      </c>
      <c r="T560" s="33">
        <f>T558+T559</f>
        <v>0.0</v>
      </c>
      <c r="U560" s="33">
        <f>U558+U559</f>
        <v>-21.18947162965024</v>
      </c>
      <c r="V560" s="33">
        <f>V558+V559</f>
        <v>-4.151720448000005</v>
      </c>
      <c r="W560" s="33">
        <f>W558+W559</f>
        <v>0.0</v>
      </c>
      <c r="X560" s="33">
        <f>X558+X559</f>
        <v>-17.635460263303116</v>
      </c>
      <c r="Y560" s="33">
        <f>Y558+Y559</f>
        <v>0.0</v>
      </c>
      <c r="Z560" s="33">
        <f>Z558+Z559</f>
        <v>-2.491032268800003</v>
      </c>
    </row>
    <row r="561">
      <c r="A561" s="16" t="inlineStr">
        <is>
          <t>CUMULATIVE contribution after CAC</t>
        </is>
      </c>
      <c r="C561" s="49">
        <f>C560</f>
        <v>-4400.024735</v>
      </c>
      <c r="D561" s="49">
        <f>C561+D560</f>
        <v>-4400.024735</v>
      </c>
      <c r="E561" s="49">
        <f>D561+E560</f>
        <v>-4400.024735</v>
      </c>
      <c r="F561" s="49">
        <f>E561+F560</f>
        <v>-4485.122000626539</v>
      </c>
      <c r="G561" s="49">
        <f>F561+G560</f>
        <v>-4485.122000626539</v>
      </c>
      <c r="H561" s="49">
        <f>G561+H560</f>
        <v>-4485.122000626539</v>
      </c>
      <c r="I561" s="49">
        <f>H561+I560</f>
        <v>-4529.284479500409</v>
      </c>
      <c r="J561" s="49">
        <f>I561+J560</f>
        <v>-4548.505407500409</v>
      </c>
      <c r="K561" s="49">
        <f>J561+K560</f>
        <v>-4548.505407500409</v>
      </c>
      <c r="L561" s="49">
        <f>K561+L560</f>
        <v>-4585.260719521465</v>
      </c>
      <c r="M561" s="49">
        <f>L561+M560</f>
        <v>-4585.260719521465</v>
      </c>
      <c r="N561" s="49">
        <f>M561+N560</f>
        <v>-4596.793276321465</v>
      </c>
      <c r="O561" s="49">
        <f>N561+O560</f>
        <v>-4627.383791080012</v>
      </c>
      <c r="P561" s="49">
        <f>O561+P560</f>
        <v>-4627.383791080012</v>
      </c>
      <c r="Q561" s="49">
        <f>P561+Q560</f>
        <v>-4627.383791080012</v>
      </c>
      <c r="R561" s="49">
        <f>Q561+R560</f>
        <v>-4659.763035382492</v>
      </c>
      <c r="S561" s="49">
        <f>R561+S560</f>
        <v>-4659.763035382492</v>
      </c>
      <c r="T561" s="49">
        <f>S561+T560</f>
        <v>-4659.763035382492</v>
      </c>
      <c r="U561" s="49">
        <f>T561+U560</f>
        <v>-4680.952507012142</v>
      </c>
      <c r="V561" s="49">
        <f>U561+V560</f>
        <v>-4685.104227460141</v>
      </c>
      <c r="W561" s="49">
        <f>V561+W560</f>
        <v>-4685.104227460141</v>
      </c>
      <c r="X561" s="49">
        <f>W561+X560</f>
        <v>-4702.739687723444</v>
      </c>
      <c r="Y561" s="49">
        <f>X561+Y560</f>
        <v>-4702.739687723444</v>
      </c>
      <c r="Z561" s="49">
        <f>Y561+Z560</f>
        <v>-4705.230719992244</v>
      </c>
    </row>
    <row r="562">
      <c r="A562" s="3" t="inlineStr">
        <is>
          <t>Cumulative contribution before CAC, per customer</t>
        </is>
      </c>
      <c r="C562" s="26">
        <f>SUM($C558:C558)/$B$530</f>
        <v>0.9997526500000032</v>
      </c>
      <c r="D562" s="26">
        <f>SUM($C558:D558)/$B$530</f>
        <v>0.9997526500000032</v>
      </c>
      <c r="E562" s="26">
        <f>SUM($C558:E558)/$B$530</f>
        <v>0.9997526500000032</v>
      </c>
      <c r="F562" s="26">
        <f>SUM($C558:F558)/$B$530</f>
        <v>0.14877999373460882</v>
      </c>
      <c r="G562" s="26">
        <f>SUM($C558:G558)/$B$530</f>
        <v>0.14877999373460882</v>
      </c>
      <c r="H562" s="26">
        <f>SUM($C558:H558)/$B$530</f>
        <v>0.14877999373460882</v>
      </c>
      <c r="I562" s="26">
        <f>SUM($C558:I558)/$B$530</f>
        <v>-0.2928447950040938</v>
      </c>
      <c r="J562" s="26">
        <f>SUM($C558:J558)/$B$530</f>
        <v>-0.48505407500409403</v>
      </c>
      <c r="K562" s="26">
        <f>SUM($C558:K558)/$B$530</f>
        <v>-0.48505407500409403</v>
      </c>
      <c r="L562" s="26">
        <f>SUM($C558:L558)/$B$530</f>
        <v>-0.8526071952146512</v>
      </c>
      <c r="M562" s="26">
        <f>SUM($C558:M558)/$B$530</f>
        <v>-0.8526071952146512</v>
      </c>
      <c r="N562" s="26">
        <f>SUM($C558:N558)/$B$530</f>
        <v>-0.9679327632146514</v>
      </c>
      <c r="O562" s="26">
        <f>SUM($C558:O558)/$B$530</f>
        <v>-1.2738379108001248</v>
      </c>
      <c r="P562" s="26">
        <f>SUM($C558:P558)/$B$530</f>
        <v>-1.2738379108001248</v>
      </c>
      <c r="Q562" s="26">
        <f>SUM($C558:Q558)/$B$530</f>
        <v>-1.2738379108001248</v>
      </c>
      <c r="R562" s="26">
        <f>SUM($C558:R558)/$B$530</f>
        <v>-1.5976303538249215</v>
      </c>
      <c r="S562" s="26">
        <f>SUM($C558:S558)/$B$530</f>
        <v>-1.5976303538249215</v>
      </c>
      <c r="T562" s="26">
        <f>SUM($C558:T558)/$B$530</f>
        <v>-1.5976303538249215</v>
      </c>
      <c r="U562" s="26">
        <f>SUM($C558:U558)/$B$530</f>
        <v>-1.8095250701214238</v>
      </c>
      <c r="V562" s="26">
        <f>SUM($C558:V558)/$B$530</f>
        <v>-1.851042274601424</v>
      </c>
      <c r="W562" s="26">
        <f>SUM($C558:W558)/$B$530</f>
        <v>-1.851042274601424</v>
      </c>
      <c r="X562" s="26">
        <f>SUM($C558:X558)/$B$530</f>
        <v>-2.0273968772344553</v>
      </c>
      <c r="Y562" s="26">
        <f>SUM($C558:Y558)/$B$530</f>
        <v>-2.0273968772344553</v>
      </c>
      <c r="Z562" s="26">
        <f>SUM($C558:Z558)/$B$530</f>
        <v>-2.0523071999224554</v>
      </c>
    </row>
    <row r="563">
      <c r="A563" s="3" t="inlineStr">
        <is>
          <t>Gross revenue (reference only - NOT used for LTV)</t>
        </is>
      </c>
      <c r="B563" s="30">
        <f>SUM(C563:Z563)</f>
        <v>7115.253052787152</v>
      </c>
      <c r="C563" s="50">
        <f>IF(C$552=1,$B$530*$B$548,0)+C553*$B$549+C554*$B$550</f>
        <v>5498.75</v>
      </c>
      <c r="D563" s="50">
        <f>IF(D$552=1,$B$530*$B$548,0)+D553*$B$549+D554*$B$550</f>
        <v>0.0</v>
      </c>
      <c r="E563" s="50">
        <f>IF(E$552=1,$B$530*$B$548,0)+E553*$B$549+E554*$B$550</f>
        <v>0.0</v>
      </c>
      <c r="F563" s="50">
        <f>IF(F$552=1,$B$530*$B$548,0)+F553*$B$549+F554*$B$550</f>
        <v>496.42197298280496</v>
      </c>
      <c r="G563" s="50">
        <f>IF(G$552=1,$B$530*$B$548,0)+G553*$B$549+G554*$B$550</f>
        <v>0.0</v>
      </c>
      <c r="H563" s="50">
        <f>IF(H$552=1,$B$530*$B$548,0)+H553*$B$549+H554*$B$550</f>
        <v>0.0</v>
      </c>
      <c r="I563" s="50">
        <f>IF(I$552=1,$B$530*$B$548,0)+I553*$B$549+I554*$B$550</f>
        <v>186.91388485829114</v>
      </c>
      <c r="J563" s="50">
        <f>IF(J$552=1,$B$530*$B$548,0)+J553*$B$549+J554*$B$550</f>
        <v>163.10399999999998</v>
      </c>
      <c r="K563" s="50">
        <f>IF(K$552=1,$B$530*$B$548,0)+K553*$B$549+K554*$B$550</f>
        <v>0.0</v>
      </c>
      <c r="L563" s="50">
        <f>IF(L$552=1,$B$530*$B$548,0)+L553*$B$549+L554*$B$550</f>
        <v>155.56368967999688</v>
      </c>
      <c r="M563" s="50">
        <f>IF(M$552=1,$B$530*$B$548,0)+M553*$B$549+M554*$B$550</f>
        <v>0.0</v>
      </c>
      <c r="N563" s="50">
        <f>IF(N$552=1,$B$530*$B$548,0)+N553*$B$549+N554*$B$550</f>
        <v>97.8624</v>
      </c>
      <c r="O563" s="50">
        <f>IF(O$552=1,$B$530*$B$548,0)+O553*$B$549+O554*$B$550</f>
        <v>129.47171669564122</v>
      </c>
      <c r="P563" s="50">
        <f>IF(P$552=1,$B$530*$B$548,0)+P553*$B$549+P554*$B$550</f>
        <v>0.0</v>
      </c>
      <c r="Q563" s="50">
        <f>IF(Q$552=1,$B$530*$B$548,0)+Q553*$B$549+Q554*$B$550</f>
        <v>0.0</v>
      </c>
      <c r="R563" s="50">
        <f>IF(R$552=1,$B$530*$B$548,0)+R553*$B$549+R554*$B$550</f>
        <v>166.47346879179995</v>
      </c>
      <c r="S563" s="50">
        <f>IF(S$552=1,$B$530*$B$548,0)+S553*$B$549+S554*$B$550</f>
        <v>0.0</v>
      </c>
      <c r="T563" s="50">
        <f>IF(T$552=1,$B$530*$B$548,0)+T553*$B$549+T554*$B$550</f>
        <v>0.0</v>
      </c>
      <c r="U563" s="50">
        <f>IF(U$552=1,$B$530*$B$548,0)+U553*$B$549+U554*$B$550</f>
        <v>89.68261205862368</v>
      </c>
      <c r="V563" s="50">
        <f>IF(V$552=1,$B$530*$B$548,0)+V553*$B$549+V554*$B$550</f>
        <v>35.230464</v>
      </c>
      <c r="W563" s="50">
        <f>IF(W$552=1,$B$530*$B$548,0)+W553*$B$549+W554*$B$550</f>
        <v>0.0</v>
      </c>
      <c r="X563" s="50">
        <f>IF(X$552=1,$B$530*$B$548,0)+X553*$B$549+X554*$B$550</f>
        <v>74.64056531999488</v>
      </c>
      <c r="Y563" s="50">
        <f>IF(Y$552=1,$B$530*$B$548,0)+Y553*$B$549+Y554*$B$550</f>
        <v>0.0</v>
      </c>
      <c r="Z563" s="50">
        <f>IF(Z$552=1,$B$530*$B$548,0)+Z553*$B$549+Z554*$B$550</f>
        <v>21.138278399999994</v>
      </c>
    </row>
    <row r="564">
      <c r="A564" s="3" t="inlineStr">
        <is>
          <t>Payback helper (month if cumulative &gt;= 0, else 99)</t>
        </is>
      </c>
      <c r="C564" s="51">
        <f>IF(C561&gt;=0,C$552,99)</f>
        <v>99.0</v>
      </c>
      <c r="D564" s="51">
        <f>IF(D561&gt;=0,D$552,99)</f>
        <v>99.0</v>
      </c>
      <c r="E564" s="51">
        <f>IF(E561&gt;=0,E$552,99)</f>
        <v>99.0</v>
      </c>
      <c r="F564" s="51">
        <f>IF(F561&gt;=0,F$552,99)</f>
        <v>99.0</v>
      </c>
      <c r="G564" s="51">
        <f>IF(G561&gt;=0,G$552,99)</f>
        <v>99.0</v>
      </c>
      <c r="H564" s="51">
        <f>IF(H561&gt;=0,H$552,99)</f>
        <v>99.0</v>
      </c>
      <c r="I564" s="51">
        <f>IF(I561&gt;=0,I$552,99)</f>
        <v>99.0</v>
      </c>
      <c r="J564" s="51">
        <f>IF(J561&gt;=0,J$552,99)</f>
        <v>99.0</v>
      </c>
      <c r="K564" s="51">
        <f>IF(K561&gt;=0,K$552,99)</f>
        <v>99.0</v>
      </c>
      <c r="L564" s="51">
        <f>IF(L561&gt;=0,L$552,99)</f>
        <v>99.0</v>
      </c>
      <c r="M564" s="51">
        <f>IF(M561&gt;=0,M$552,99)</f>
        <v>99.0</v>
      </c>
      <c r="N564" s="51">
        <f>IF(N561&gt;=0,N$552,99)</f>
        <v>99.0</v>
      </c>
      <c r="O564" s="51">
        <f>IF(O561&gt;=0,O$552,99)</f>
        <v>99.0</v>
      </c>
      <c r="P564" s="51">
        <f>IF(P561&gt;=0,P$552,99)</f>
        <v>99.0</v>
      </c>
      <c r="Q564" s="51">
        <f>IF(Q561&gt;=0,Q$552,99)</f>
        <v>99.0</v>
      </c>
      <c r="R564" s="51">
        <f>IF(R561&gt;=0,R$552,99)</f>
        <v>99.0</v>
      </c>
      <c r="S564" s="51">
        <f>IF(S561&gt;=0,S$552,99)</f>
        <v>99.0</v>
      </c>
      <c r="T564" s="51">
        <f>IF(T561&gt;=0,T$552,99)</f>
        <v>99.0</v>
      </c>
      <c r="U564" s="51">
        <f>IF(U561&gt;=0,U$552,99)</f>
        <v>99.0</v>
      </c>
      <c r="V564" s="51">
        <f>IF(V561&gt;=0,V$552,99)</f>
        <v>99.0</v>
      </c>
      <c r="W564" s="51">
        <f>IF(W561&gt;=0,W$552,99)</f>
        <v>99.0</v>
      </c>
      <c r="X564" s="51">
        <f>IF(X561&gt;=0,X$552,99)</f>
        <v>99.0</v>
      </c>
      <c r="Y564" s="51">
        <f>IF(Y561&gt;=0,Y$552,99)</f>
        <v>99.0</v>
      </c>
      <c r="Z564" s="51">
        <f>IF(Z561&gt;=0,Z$552,99)</f>
        <v>99.0</v>
      </c>
    </row>
    <row r="566">
      <c r="A566" s="16" t="inlineStr">
        <is>
          <t>FIRST-ORDER contribution before ads, per customer</t>
        </is>
      </c>
      <c r="B566" s="42">
        <f>$B$536</f>
        <v>0.9997526500000031</v>
      </c>
    </row>
    <row r="567">
      <c r="A567" s="16" t="inlineStr">
        <is>
          <t>FIRST-ORDER contribution after CAC, per customer</t>
        </is>
      </c>
      <c r="B567" s="42">
        <f>$B$536-$B$537</f>
        <v>-44.000247349999995</v>
      </c>
    </row>
    <row r="568">
      <c r="A568" s="16" t="inlineStr">
        <is>
          <t>Is the first order profitable after CAC?</t>
        </is>
      </c>
      <c r="B568" s="52" t="str">
        <f>IF(B567&gt;=0,"YES - first order covers CAC","NO - first order loses money after CAC")</f>
        <v>NO - first order loses money after CAC</v>
      </c>
    </row>
    <row r="569">
      <c r="A569" s="3" t="inlineStr">
        <is>
          <t>Payback month (numeric; 99 = none within 24 months)</t>
        </is>
      </c>
      <c r="B569" s="41">
        <f>MIN(C564:Z564)</f>
        <v>99.0</v>
      </c>
    </row>
    <row r="570">
      <c r="A570" s="16" t="inlineStr">
        <is>
          <t>Payback (display)</t>
        </is>
      </c>
      <c r="B570" s="52" t="str">
        <f>IF(B569&gt;24,"No payback within 24 months","Month "&amp;B569)</f>
        <v>No payback within 24 months</v>
      </c>
    </row>
    <row r="571">
      <c r="A571" s="16" t="inlineStr">
        <is>
          <t>12-month contribution LTV per customer (before CAC)</t>
        </is>
      </c>
      <c r="B571" s="42">
        <f>SUM(C558:N558)/$B$530</f>
        <v>-0.9679327632146514</v>
      </c>
    </row>
    <row r="572">
      <c r="A572" s="16" t="inlineStr">
        <is>
          <t>24-month contribution LTV per customer (before CAC)</t>
        </is>
      </c>
      <c r="B572" s="42">
        <f>SUM(C558:Z558)/$B$530</f>
        <v>-2.0523071999224554</v>
      </c>
    </row>
    <row r="573">
      <c r="A573" s="16" t="inlineStr">
        <is>
          <t>12-month contribution LTV net of CAC</t>
        </is>
      </c>
      <c r="B573" s="42">
        <f>B571-$B$537</f>
        <v>-45.96793276321465</v>
      </c>
    </row>
    <row r="574">
      <c r="A574" s="3" t="inlineStr">
        <is>
          <t>24-month contribution LTV net of CAC</t>
        </is>
      </c>
      <c r="B574" s="26">
        <f>B572-$B$537</f>
        <v>-47.05230719992245</v>
      </c>
    </row>
    <row r="575">
      <c r="A575" s="16" t="inlineStr">
        <is>
          <t>12-month LTV:CAC (contribution basis)</t>
        </is>
      </c>
      <c r="B575" s="53">
        <f>IFERROR(B571/$B$537,0)</f>
        <v>-0.021509616960325585</v>
      </c>
    </row>
    <row r="576">
      <c r="A576" s="3" t="inlineStr">
        <is>
          <t>24-month LTV:CAC</t>
        </is>
      </c>
      <c r="B576" s="37">
        <f>IFERROR(B572/$B$537,0)</f>
        <v>-0.04560682666494345</v>
      </c>
    </row>
    <row r="577">
      <c r="A577" s="3" t="inlineStr">
        <is>
          <t>12-month LTV : blended CAC (info only)</t>
        </is>
      </c>
      <c r="B577" s="37">
        <f>IFERROR(B571/($B$537*Inputs!$E$121),0)</f>
        <v>-0.0253054317180301</v>
      </c>
    </row>
    <row r="578">
      <c r="A578" s="3" t="inlineStr">
        <is>
          <t>Cohort contribution from subscription renewals, months 1-24</t>
        </is>
      </c>
      <c r="B578" s="33">
        <f>B553*$B$538</f>
        <v>-228.85533339544574</v>
      </c>
    </row>
    <row r="579">
      <c r="A579" s="3" t="inlineStr">
        <is>
          <t>Renewal contribution per subscriber, 12 months</t>
        </is>
      </c>
      <c r="B579" s="26">
        <f>IFERROR(SUM(C553:N553)*$B$538/$B$533,0)</f>
        <v>-6.699008826073269</v>
      </c>
    </row>
    <row r="580">
      <c r="A580" s="3" t="inlineStr">
        <is>
          <t>Repeat contribution per occasional buyer, 12 months</t>
        </is>
      </c>
      <c r="B580" s="26">
        <f>IFERROR(SUM(C554:N554)*$B$539/$B$534,0)</f>
        <v>-3.924272800000005</v>
      </c>
    </row>
    <row r="581">
      <c r="A581" s="3" t="inlineStr">
        <is>
          <t>Orders per acquired customer, 12 months</t>
        </is>
      </c>
      <c r="B581" s="11">
        <f>($B$530+SUM(C553:N553)+SUM(C554:N554))/$B$530</f>
        <v>1.6844452995363894</v>
      </c>
    </row>
    <row r="582">
      <c r="A582" s="3" t="inlineStr">
        <is>
          <t>Renewal contribution per subscriber, 24 months</t>
        </is>
      </c>
      <c r="B582" s="26">
        <f>IFERROR(SUM(C553:Z553)*$B$538/$B$533,0)</f>
        <v>-11.442766669772286</v>
      </c>
    </row>
    <row r="583">
      <c r="A583" s="3" t="inlineStr">
        <is>
          <t>Repeat contribution per occasional buyer, 24 months</t>
        </is>
      </c>
      <c r="B583" s="26">
        <f>IFERROR(SUM(C554:Z554)*$B$539/$B$534,0)</f>
        <v>-4.771915724800006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4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3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3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3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3" customWidth="1" min="25" max="25"/>
  </cols>
  <sheetData>
    <row r="1">
      <c r="A1" s="15" t="inlineStr">
        <is>
          <t>Espresso_UnitEcon: per-order contribution, Dedica 51mm kit (SHADOW CASE)</t>
        </is>
      </c>
    </row>
    <row r="2">
      <c r="A2" s="2" t="inlineStr">
        <is>
          <t>Group 1 follows the scenario selector; groups 2-4 are the Pessimistic / Base / Optimistic engine for Scenarios. Beans ship from the US roaster (second parcel) at Roastify / Dripshipper published rates.</t>
        </is>
      </c>
    </row>
    <row r="3">
      <c r="A3" s="2" t="inlineStr">
        <is>
          <t>Costs shown as negatives. Contribution = net revenue less all variable costs (product, fulfillment, postage, payments, warranty, returns, chargebacks, affiliates). Fixed costs (apps, 3PL storage, UGC) are in Launch_Budget.</t>
        </is>
      </c>
    </row>
    <row r="5">
      <c r="A5" s="16" t="inlineStr">
        <is>
          <t>Scenario group</t>
        </is>
      </c>
      <c r="B5" s="18" t="str">
        <f>"SELECTED scenario: "&amp;Inputs!$E$3</f>
        <v>SELECTED scenario: Base</v>
      </c>
      <c r="H5" s="18" t="inlineStr">
        <is>
          <t>PESSIMISTIC (engine)</t>
        </is>
      </c>
      <c r="N5" s="18" t="inlineStr">
        <is>
          <t>BASE (engine)</t>
        </is>
      </c>
      <c r="T5" s="18" t="inlineStr">
        <is>
          <t>OPTIMISTIC (engine)</t>
        </is>
      </c>
    </row>
    <row r="6">
      <c r="A6" s="2" t="inlineStr">
        <is>
          <t>Inputs column used</t>
        </is>
      </c>
      <c r="B6" s="2" t="inlineStr">
        <is>
          <t>G = Selected</t>
        </is>
      </c>
      <c r="H6" s="2" t="inlineStr">
        <is>
          <t>D = Pessimistic</t>
        </is>
      </c>
      <c r="N6" s="2" t="inlineStr">
        <is>
          <t>E = Base</t>
        </is>
      </c>
      <c r="T6" s="2" t="inlineStr">
        <is>
          <t>F = Optimistic</t>
        </is>
      </c>
    </row>
    <row r="7">
      <c r="A7" s="2" t="inlineStr">
        <is>
          <t>Multiplier - paid CPA</t>
        </is>
      </c>
      <c r="B7" s="37" t="n">
        <v>1</v>
      </c>
      <c r="H7" s="37" t="n">
        <v>1</v>
      </c>
      <c r="N7" s="37" t="n">
        <v>1</v>
      </c>
      <c r="T7" s="37" t="n">
        <v>1</v>
      </c>
    </row>
    <row r="8">
      <c r="A8" s="2" t="inlineStr">
        <is>
          <t>Multiplier - supplier unit cost (COGS)</t>
        </is>
      </c>
      <c r="B8" s="37" t="n">
        <v>1</v>
      </c>
      <c r="H8" s="37" t="n">
        <v>1</v>
      </c>
      <c r="N8" s="37" t="n">
        <v>1</v>
      </c>
      <c r="T8" s="37" t="n">
        <v>1</v>
      </c>
    </row>
    <row r="9">
      <c r="A9" s="2" t="inlineStr">
        <is>
          <t>Multiplier - postage</t>
        </is>
      </c>
      <c r="B9" s="37" t="n">
        <v>1</v>
      </c>
      <c r="H9" s="37" t="n">
        <v>1</v>
      </c>
      <c r="N9" s="37" t="n">
        <v>1</v>
      </c>
      <c r="T9" s="37" t="n">
        <v>1</v>
      </c>
    </row>
    <row r="10">
      <c r="A10" s="2" t="inlineStr">
        <is>
          <t>Multiplier - subscription attach (used in cohort)</t>
        </is>
      </c>
      <c r="B10" s="37" t="n">
        <v>1</v>
      </c>
      <c r="H10" s="37" t="n">
        <v>1</v>
      </c>
      <c r="N10" s="37" t="n">
        <v>1</v>
      </c>
      <c r="T10" s="37" t="n">
        <v>1</v>
      </c>
    </row>
    <row r="11">
      <c r="A11" s="2" t="inlineStr">
        <is>
          <t>Multiplier - churn (used in cohort)</t>
        </is>
      </c>
      <c r="B11" s="37" t="n">
        <v>1</v>
      </c>
      <c r="H11" s="37" t="n">
        <v>1</v>
      </c>
      <c r="N11" s="37" t="n">
        <v>1</v>
      </c>
      <c r="T11" s="37" t="n">
        <v>1</v>
      </c>
    </row>
    <row r="12">
      <c r="A12" s="2" t="inlineStr">
        <is>
          <t>Multiplier - refunds, replacements, returns</t>
        </is>
      </c>
      <c r="B12" s="37" t="n">
        <v>1</v>
      </c>
      <c r="H12" s="37" t="n">
        <v>1</v>
      </c>
      <c r="N12" s="37" t="n">
        <v>1</v>
      </c>
      <c r="T12" s="37" t="n">
        <v>1</v>
      </c>
    </row>
    <row r="14">
      <c r="A14" s="4" t="inlineStr">
        <is>
          <t>Landed cost build (per unit, value in first column of each group)</t>
        </is>
      </c>
    </row>
    <row r="15">
      <c r="A15" s="3" t="inlineStr">
        <is>
          <t>Test-stage kit landed (AliExpress x (1 + duty + AutoDS fee))</t>
        </is>
      </c>
      <c r="B15" s="26">
        <f>Inputs!$G$33*$B$8*(1+Inputs!$G$34+Inputs!$G$27)</f>
        <v>56.86200000000001</v>
      </c>
      <c r="H15" s="26">
        <f>Inputs!$D$33*$H$8*(1+Inputs!$D$34+Inputs!$D$27)</f>
        <v>93.66672</v>
      </c>
      <c r="N15" s="26">
        <f>Inputs!$E$33*$N$8*(1+Inputs!$E$34+Inputs!$E$27)</f>
        <v>56.86200000000001</v>
      </c>
      <c r="T15" s="26">
        <f>Inputs!$F$33*$T$8*(1+Inputs!$F$34+Inputs!$F$27)</f>
        <v>31.810000000000002</v>
      </c>
    </row>
    <row r="16">
      <c r="A16" s="3" t="inlineStr">
        <is>
          <t>PL kit FOB (portafilter + tamper + WDT + screen)</t>
        </is>
      </c>
      <c r="B16" s="26">
        <f>Inputs!$G$65*$B$8</f>
        <v>19.3</v>
      </c>
      <c r="H16" s="26">
        <f>Inputs!$D$65*$H$8</f>
        <v>43.0</v>
      </c>
      <c r="N16" s="26">
        <f>Inputs!$E$65*$N$8</f>
        <v>19.3</v>
      </c>
      <c r="T16" s="26">
        <f>Inputs!$F$65*$T$8</f>
        <v>13.67</v>
      </c>
    </row>
    <row r="17">
      <c r="A17" s="3" t="inlineStr">
        <is>
          <t>PL duty</t>
        </is>
      </c>
      <c r="B17" s="26">
        <f>$B$16*Inputs!$G$66</f>
        <v>7.9902</v>
      </c>
      <c r="H17" s="26">
        <f>$H$16*Inputs!$D$66</f>
        <v>17.802</v>
      </c>
      <c r="N17" s="26">
        <f>$N$16*Inputs!$E$66</f>
        <v>7.9902</v>
      </c>
      <c r="T17" s="26">
        <f>$T$16*Inputs!$F$66</f>
        <v>3.8139300000000005</v>
      </c>
    </row>
    <row r="18">
      <c r="A18" s="3" t="inlineStr">
        <is>
          <t>PL freight per kit</t>
        </is>
      </c>
      <c r="B18" s="39">
        <f>Inputs!$G$67</f>
        <v>1.5</v>
      </c>
      <c r="H18" s="39">
        <f>Inputs!$D$67</f>
        <v>2.5</v>
      </c>
      <c r="N18" s="39">
        <f>Inputs!$E$67</f>
        <v>1.5</v>
      </c>
      <c r="T18" s="39">
        <f>Inputs!$F$67</f>
        <v>1.0</v>
      </c>
    </row>
    <row r="19">
      <c r="A19" s="3" t="inlineStr">
        <is>
          <t>PL customs entry fees per kit</t>
        </is>
      </c>
      <c r="B19" s="26">
        <f>(Inputs!$G$41+Inputs!$G$42+Inputs!$G$43+MAX(Inputs!$G$45,MIN(Inputs!$G$46,Inputs!$G$44*Inputs!$G$68*$B$16))+Inputs!$G$47*Inputs!$G$68*$B$16)/Inputs!$G$68</f>
        <v>1.567025</v>
      </c>
      <c r="H19" s="26">
        <f>(Inputs!$D$41+Inputs!$D$42+Inputs!$D$43+MAX(Inputs!$D$45,MIN(Inputs!$D$46,Inputs!$D$44*Inputs!$D$68*$H$16))+Inputs!$D$47*Inputs!$D$68*$H$16)/Inputs!$D$68</f>
        <v>4.38955</v>
      </c>
      <c r="N19" s="26">
        <f>(Inputs!$E$41+Inputs!$E$42+Inputs!$E$43+MAX(Inputs!$E$45,MIN(Inputs!$E$46,Inputs!$E$44*Inputs!$E$68*$N$16))+Inputs!$E$47*Inputs!$E$68*$N$16)/Inputs!$E$68</f>
        <v>1.567025</v>
      </c>
      <c r="T19" s="26">
        <f>(Inputs!$F$41+Inputs!$F$42+Inputs!$F$43+MAX(Inputs!$F$45,MIN(Inputs!$F$46,Inputs!$F$44*Inputs!$F$68*$T$16))+Inputs!$F$47*Inputs!$F$68*$T$16)/Inputs!$F$68</f>
        <v>0.6956874999999999</v>
      </c>
    </row>
    <row r="20">
      <c r="A20" s="3" t="inlineStr">
        <is>
          <t>PL kit packaging</t>
        </is>
      </c>
      <c r="B20" s="39">
        <f>Inputs!$G$69</f>
        <v>1.0</v>
      </c>
      <c r="H20" s="39">
        <f>Inputs!$D$69</f>
        <v>1.5</v>
      </c>
      <c r="N20" s="39">
        <f>Inputs!$E$69</f>
        <v>1.0</v>
      </c>
      <c r="T20" s="39">
        <f>Inputs!$F$69</f>
        <v>0.7</v>
      </c>
    </row>
    <row r="21">
      <c r="A21" s="3" t="inlineStr">
        <is>
          <t>PL certification amortization (Prop 65 + food-contact)</t>
        </is>
      </c>
      <c r="B21" s="26">
        <f>(Inputs!$G$50+Inputs!$G$51)/Inputs!$G$70</f>
        <v>3.3</v>
      </c>
      <c r="H21" s="26">
        <f>(Inputs!$D$50+Inputs!$D$51)/Inputs!$D$70</f>
        <v>8.0</v>
      </c>
      <c r="N21" s="26">
        <f>(Inputs!$E$50+Inputs!$E$51)/Inputs!$E$70</f>
        <v>3.3</v>
      </c>
      <c r="T21" s="26">
        <f>(Inputs!$F$50+Inputs!$F$51)/Inputs!$F$70</f>
        <v>1.05</v>
      </c>
    </row>
    <row r="22">
      <c r="A22" s="3" t="inlineStr">
        <is>
          <t>PL kit landed cost</t>
        </is>
      </c>
      <c r="B22" s="23">
        <f>SUM(B16:B21)</f>
        <v>34.657225</v>
      </c>
      <c r="H22" s="23">
        <f>SUM(H16:H21)</f>
        <v>77.19155</v>
      </c>
      <c r="N22" s="23">
        <f>SUM(N16:N21)</f>
        <v>34.657225</v>
      </c>
      <c r="T22" s="23">
        <f>SUM(T16:T21)</f>
        <v>20.9296175</v>
      </c>
    </row>
    <row r="23">
      <c r="A23" s="3" t="inlineStr">
        <is>
          <t>Bean product cost per shipment (bags x roaster price)</t>
        </is>
      </c>
      <c r="B23" s="26">
        <f>Inputs!$G$23*Inputs!$G$72*$B$8</f>
        <v>24.0</v>
      </c>
      <c r="H23" s="26">
        <f>Inputs!$D$23*Inputs!$D$72*$H$8</f>
        <v>26.4</v>
      </c>
      <c r="N23" s="26">
        <f>Inputs!$E$23*Inputs!$E$72*$N$8</f>
        <v>24.0</v>
      </c>
      <c r="T23" s="26">
        <f>Inputs!$F$23*Inputs!$F$72*$T$8</f>
        <v>18.78</v>
      </c>
    </row>
    <row r="24">
      <c r="A24" s="3" t="inlineStr">
        <is>
          <t>Roaster dropship shipping per shipment</t>
        </is>
      </c>
      <c r="B24" s="26">
        <f>Inputs!$G$73+(Inputs!$G$23-1)*Inputs!$G$74</f>
        <v>5.75</v>
      </c>
      <c r="H24" s="26">
        <f>Inputs!$D$73+(Inputs!$D$23-1)*Inputs!$D$74</f>
        <v>5.75</v>
      </c>
      <c r="N24" s="26">
        <f>Inputs!$E$73+(Inputs!$E$23-1)*Inputs!$E$74</f>
        <v>5.75</v>
      </c>
      <c r="T24" s="26">
        <f>Inputs!$F$73+(Inputs!$F$23-1)*Inputs!$F$74</f>
        <v>0.0</v>
      </c>
    </row>
    <row r="26" ht="54" customHeight="1">
      <c r="A26" s="4" t="inlineStr">
        <is>
          <t>Order type</t>
        </is>
      </c>
      <c r="B26" s="40" t="inlineStr">
        <is>
          <t>(a) Dedica kit first order - TEST stage (AliExpress)</t>
        </is>
      </c>
      <c r="C26" s="40" t="inlineStr">
        <is>
          <t>(b) Dedica kit first order - PRIVATE LABEL</t>
        </is>
      </c>
      <c r="D26" s="40" t="inlineStr">
        <is>
          <t>(c) Kit + first bean shipment (subscription) - PL</t>
        </is>
      </c>
      <c r="E26" s="40" t="inlineStr">
        <is>
          <t>(d) Bean subscription renewal (monthly)</t>
        </is>
      </c>
      <c r="F26" s="40" t="inlineStr">
        <is>
          <t>(e) Beans - one-time repeat order</t>
        </is>
      </c>
      <c r="H26" s="40" t="inlineStr">
        <is>
          <t>(a) Dedica kit first order - TEST stage (AliExpress)</t>
        </is>
      </c>
      <c r="I26" s="40" t="inlineStr">
        <is>
          <t>(b) Dedica kit first order - PRIVATE LABEL</t>
        </is>
      </c>
      <c r="J26" s="40" t="inlineStr">
        <is>
          <t>(c) Kit + first bean shipment (subscription) - PL</t>
        </is>
      </c>
      <c r="K26" s="40" t="inlineStr">
        <is>
          <t>(d) Bean subscription renewal (monthly)</t>
        </is>
      </c>
      <c r="L26" s="40" t="inlineStr">
        <is>
          <t>(e) Beans - one-time repeat order</t>
        </is>
      </c>
      <c r="N26" s="40" t="inlineStr">
        <is>
          <t>(a) Dedica kit first order - TEST stage (AliExpress)</t>
        </is>
      </c>
      <c r="O26" s="40" t="inlineStr">
        <is>
          <t>(b) Dedica kit first order - PRIVATE LABEL</t>
        </is>
      </c>
      <c r="P26" s="40" t="inlineStr">
        <is>
          <t>(c) Kit + first bean shipment (subscription) - PL</t>
        </is>
      </c>
      <c r="Q26" s="40" t="inlineStr">
        <is>
          <t>(d) Bean subscription renewal (monthly)</t>
        </is>
      </c>
      <c r="R26" s="40" t="inlineStr">
        <is>
          <t>(e) Beans - one-time repeat order</t>
        </is>
      </c>
      <c r="T26" s="40" t="inlineStr">
        <is>
          <t>(a) Dedica kit first order - TEST stage (AliExpress)</t>
        </is>
      </c>
      <c r="U26" s="40" t="inlineStr">
        <is>
          <t>(b) Dedica kit first order - PRIVATE LABEL</t>
        </is>
      </c>
      <c r="V26" s="40" t="inlineStr">
        <is>
          <t>(c) Kit + first bean shipment (subscription) - PL</t>
        </is>
      </c>
      <c r="W26" s="40" t="inlineStr">
        <is>
          <t>(d) Bean subscription renewal (monthly)</t>
        </is>
      </c>
      <c r="X26" s="40" t="inlineStr">
        <is>
          <t>(e) Beans - one-time repeat order</t>
        </is>
      </c>
    </row>
    <row r="27">
      <c r="A27" s="3" t="inlineStr">
        <is>
          <t>Stage</t>
        </is>
      </c>
      <c r="B27" s="2" t="inlineStr">
        <is>
          <t>Test</t>
        </is>
      </c>
      <c r="C27" s="2" t="inlineStr">
        <is>
          <t>Private label</t>
        </is>
      </c>
      <c r="D27" s="2" t="inlineStr">
        <is>
          <t>Private label</t>
        </is>
      </c>
      <c r="E27" s="2" t="inlineStr">
        <is>
          <t>Renewal</t>
        </is>
      </c>
      <c r="F27" s="2" t="inlineStr">
        <is>
          <t>One-time</t>
        </is>
      </c>
      <c r="H27" s="2" t="inlineStr">
        <is>
          <t>Test</t>
        </is>
      </c>
      <c r="I27" s="2" t="inlineStr">
        <is>
          <t>Private label</t>
        </is>
      </c>
      <c r="J27" s="2" t="inlineStr">
        <is>
          <t>Private label</t>
        </is>
      </c>
      <c r="K27" s="2" t="inlineStr">
        <is>
          <t>Renewal</t>
        </is>
      </c>
      <c r="L27" s="2" t="inlineStr">
        <is>
          <t>One-time</t>
        </is>
      </c>
      <c r="N27" s="2" t="inlineStr">
        <is>
          <t>Test</t>
        </is>
      </c>
      <c r="O27" s="2" t="inlineStr">
        <is>
          <t>Private label</t>
        </is>
      </c>
      <c r="P27" s="2" t="inlineStr">
        <is>
          <t>Private label</t>
        </is>
      </c>
      <c r="Q27" s="2" t="inlineStr">
        <is>
          <t>Renewal</t>
        </is>
      </c>
      <c r="R27" s="2" t="inlineStr">
        <is>
          <t>One-time</t>
        </is>
      </c>
      <c r="T27" s="2" t="inlineStr">
        <is>
          <t>Test</t>
        </is>
      </c>
      <c r="U27" s="2" t="inlineStr">
        <is>
          <t>Private label</t>
        </is>
      </c>
      <c r="V27" s="2" t="inlineStr">
        <is>
          <t>Private label</t>
        </is>
      </c>
      <c r="W27" s="2" t="inlineStr">
        <is>
          <t>Renewal</t>
        </is>
      </c>
      <c r="X27" s="2" t="inlineStr">
        <is>
          <t>One-time</t>
        </is>
      </c>
    </row>
    <row r="28">
      <c r="A28" s="3" t="inlineStr">
        <is>
          <t>Kit units</t>
        </is>
      </c>
      <c r="B28" s="41" t="n">
        <v>1</v>
      </c>
      <c r="C28" s="41" t="n">
        <v>1</v>
      </c>
      <c r="D28" s="41" t="n">
        <v>1</v>
      </c>
      <c r="E28" s="41" t="n">
        <v>0</v>
      </c>
      <c r="F28" s="41" t="n">
        <v>0</v>
      </c>
      <c r="H28" s="41" t="n">
        <v>1</v>
      </c>
      <c r="I28" s="41" t="n">
        <v>1</v>
      </c>
      <c r="J28" s="41" t="n">
        <v>1</v>
      </c>
      <c r="K28" s="41" t="n">
        <v>0</v>
      </c>
      <c r="L28" s="41" t="n">
        <v>0</v>
      </c>
      <c r="N28" s="41" t="n">
        <v>1</v>
      </c>
      <c r="O28" s="41" t="n">
        <v>1</v>
      </c>
      <c r="P28" s="41" t="n">
        <v>1</v>
      </c>
      <c r="Q28" s="41" t="n">
        <v>0</v>
      </c>
      <c r="R28" s="41" t="n">
        <v>0</v>
      </c>
      <c r="T28" s="41" t="n">
        <v>1</v>
      </c>
      <c r="U28" s="41" t="n">
        <v>1</v>
      </c>
      <c r="V28" s="41" t="n">
        <v>1</v>
      </c>
      <c r="W28" s="41" t="n">
        <v>0</v>
      </c>
      <c r="X28" s="41" t="n">
        <v>0</v>
      </c>
    </row>
    <row r="29">
      <c r="A29" s="3" t="inlineStr">
        <is>
          <t>Bean shipments at subscription price</t>
        </is>
      </c>
      <c r="B29" s="41" t="n">
        <v>0</v>
      </c>
      <c r="C29" s="41" t="n">
        <v>0</v>
      </c>
      <c r="D29" s="41" t="n">
        <v>1</v>
      </c>
      <c r="E29" s="41" t="n">
        <v>1</v>
      </c>
      <c r="F29" s="41" t="n">
        <v>0</v>
      </c>
      <c r="H29" s="41" t="n">
        <v>0</v>
      </c>
      <c r="I29" s="41" t="n">
        <v>0</v>
      </c>
      <c r="J29" s="41" t="n">
        <v>1</v>
      </c>
      <c r="K29" s="41" t="n">
        <v>1</v>
      </c>
      <c r="L29" s="41" t="n">
        <v>0</v>
      </c>
      <c r="N29" s="41" t="n">
        <v>0</v>
      </c>
      <c r="O29" s="41" t="n">
        <v>0</v>
      </c>
      <c r="P29" s="41" t="n">
        <v>1</v>
      </c>
      <c r="Q29" s="41" t="n">
        <v>1</v>
      </c>
      <c r="R29" s="41" t="n">
        <v>0</v>
      </c>
      <c r="T29" s="41" t="n">
        <v>0</v>
      </c>
      <c r="U29" s="41" t="n">
        <v>0</v>
      </c>
      <c r="V29" s="41" t="n">
        <v>1</v>
      </c>
      <c r="W29" s="41" t="n">
        <v>1</v>
      </c>
      <c r="X29" s="41" t="n">
        <v>0</v>
      </c>
    </row>
    <row r="30">
      <c r="A30" s="3" t="inlineStr">
        <is>
          <t>Bean shipments at one-time price</t>
        </is>
      </c>
      <c r="B30" s="41" t="n">
        <v>0</v>
      </c>
      <c r="C30" s="41" t="n">
        <v>0</v>
      </c>
      <c r="D30" s="41" t="n">
        <v>0</v>
      </c>
      <c r="E30" s="41" t="n">
        <v>0</v>
      </c>
      <c r="F30" s="41" t="n">
        <v>1</v>
      </c>
      <c r="H30" s="41" t="n">
        <v>0</v>
      </c>
      <c r="I30" s="41" t="n">
        <v>0</v>
      </c>
      <c r="J30" s="41" t="n">
        <v>0</v>
      </c>
      <c r="K30" s="41" t="n">
        <v>0</v>
      </c>
      <c r="L30" s="41" t="n">
        <v>1</v>
      </c>
      <c r="N30" s="41" t="n">
        <v>0</v>
      </c>
      <c r="O30" s="41" t="n">
        <v>0</v>
      </c>
      <c r="P30" s="41" t="n">
        <v>0</v>
      </c>
      <c r="Q30" s="41" t="n">
        <v>0</v>
      </c>
      <c r="R30" s="41" t="n">
        <v>1</v>
      </c>
      <c r="T30" s="41" t="n">
        <v>0</v>
      </c>
      <c r="U30" s="41" t="n">
        <v>0</v>
      </c>
      <c r="V30" s="41" t="n">
        <v>0</v>
      </c>
      <c r="W30" s="41" t="n">
        <v>0</v>
      </c>
      <c r="X30" s="41" t="n">
        <v>1</v>
      </c>
    </row>
    <row r="31">
      <c r="A31" s="3" t="inlineStr">
        <is>
          <t>Revenue - kit</t>
        </is>
      </c>
      <c r="B31" s="26">
        <f>B28*Inputs!$G$18</f>
        <v>84.99</v>
      </c>
      <c r="C31" s="26">
        <f>C28*Inputs!$G$18</f>
        <v>84.99</v>
      </c>
      <c r="D31" s="26">
        <f>D28*Inputs!$G$18</f>
        <v>84.99</v>
      </c>
      <c r="E31" s="26">
        <f>E28*Inputs!$G$18</f>
        <v>0.0</v>
      </c>
      <c r="F31" s="26">
        <f>F28*Inputs!$G$18</f>
        <v>0.0</v>
      </c>
      <c r="H31" s="26">
        <f>H28*Inputs!$D$18</f>
        <v>74.99</v>
      </c>
      <c r="I31" s="26">
        <f>I28*Inputs!$D$18</f>
        <v>74.99</v>
      </c>
      <c r="J31" s="26">
        <f>J28*Inputs!$D$18</f>
        <v>74.99</v>
      </c>
      <c r="K31" s="26">
        <f>K28*Inputs!$D$18</f>
        <v>0.0</v>
      </c>
      <c r="L31" s="26">
        <f>L28*Inputs!$D$18</f>
        <v>0.0</v>
      </c>
      <c r="N31" s="26">
        <f>N28*Inputs!$E$18</f>
        <v>84.99</v>
      </c>
      <c r="O31" s="26">
        <f>O28*Inputs!$E$18</f>
        <v>84.99</v>
      </c>
      <c r="P31" s="26">
        <f>P28*Inputs!$E$18</f>
        <v>84.99</v>
      </c>
      <c r="Q31" s="26">
        <f>Q28*Inputs!$E$18</f>
        <v>0.0</v>
      </c>
      <c r="R31" s="26">
        <f>R28*Inputs!$E$18</f>
        <v>0.0</v>
      </c>
      <c r="T31" s="26">
        <f>T28*Inputs!$F$18</f>
        <v>99.99</v>
      </c>
      <c r="U31" s="26">
        <f>U28*Inputs!$F$18</f>
        <v>99.99</v>
      </c>
      <c r="V31" s="26">
        <f>V28*Inputs!$F$18</f>
        <v>99.99</v>
      </c>
      <c r="W31" s="26">
        <f>W28*Inputs!$F$18</f>
        <v>0.0</v>
      </c>
      <c r="X31" s="26">
        <f>X28*Inputs!$F$18</f>
        <v>0.0</v>
      </c>
    </row>
    <row r="32">
      <c r="A32" s="3" t="inlineStr">
        <is>
          <t>Revenue - beans (subscription)</t>
        </is>
      </c>
      <c r="B32" s="26">
        <f>B29*Inputs!$G$22</f>
        <v>0.0</v>
      </c>
      <c r="C32" s="26">
        <f>C29*Inputs!$G$22</f>
        <v>0.0</v>
      </c>
      <c r="D32" s="26">
        <f>D29*Inputs!$G$22</f>
        <v>35.991</v>
      </c>
      <c r="E32" s="26">
        <f>E29*Inputs!$G$22</f>
        <v>35.991</v>
      </c>
      <c r="F32" s="26">
        <f>F29*Inputs!$G$22</f>
        <v>0.0</v>
      </c>
      <c r="H32" s="26">
        <f>H29*Inputs!$D$22</f>
        <v>0.0</v>
      </c>
      <c r="I32" s="26">
        <f>I29*Inputs!$D$22</f>
        <v>0.0</v>
      </c>
      <c r="J32" s="26">
        <f>J29*Inputs!$D$22</f>
        <v>34.191</v>
      </c>
      <c r="K32" s="26">
        <f>K29*Inputs!$D$22</f>
        <v>34.191</v>
      </c>
      <c r="L32" s="26">
        <f>L29*Inputs!$D$22</f>
        <v>0.0</v>
      </c>
      <c r="N32" s="26">
        <f>N29*Inputs!$E$22</f>
        <v>0.0</v>
      </c>
      <c r="O32" s="26">
        <f>O29*Inputs!$E$22</f>
        <v>0.0</v>
      </c>
      <c r="P32" s="26">
        <f>P29*Inputs!$E$22</f>
        <v>35.991</v>
      </c>
      <c r="Q32" s="26">
        <f>Q29*Inputs!$E$22</f>
        <v>35.991</v>
      </c>
      <c r="R32" s="26">
        <f>R29*Inputs!$E$22</f>
        <v>0.0</v>
      </c>
      <c r="T32" s="26">
        <f>T29*Inputs!$F$22</f>
        <v>0.0</v>
      </c>
      <c r="U32" s="26">
        <f>U29*Inputs!$F$22</f>
        <v>0.0</v>
      </c>
      <c r="V32" s="26">
        <f>V29*Inputs!$F$22</f>
        <v>39.591</v>
      </c>
      <c r="W32" s="26">
        <f>W29*Inputs!$F$22</f>
        <v>39.591</v>
      </c>
      <c r="X32" s="26">
        <f>X29*Inputs!$F$22</f>
        <v>0.0</v>
      </c>
    </row>
    <row r="33">
      <c r="A33" s="3" t="inlineStr">
        <is>
          <t>Revenue - beans (one-time)</t>
        </is>
      </c>
      <c r="B33" s="26">
        <f>B30*Inputs!$G$20</f>
        <v>0.0</v>
      </c>
      <c r="C33" s="26">
        <f>C30*Inputs!$G$20</f>
        <v>0.0</v>
      </c>
      <c r="D33" s="26">
        <f>D30*Inputs!$G$20</f>
        <v>0.0</v>
      </c>
      <c r="E33" s="26">
        <f>E30*Inputs!$G$20</f>
        <v>0.0</v>
      </c>
      <c r="F33" s="26">
        <f>F30*Inputs!$G$20</f>
        <v>39.99</v>
      </c>
      <c r="H33" s="26">
        <f>H30*Inputs!$D$20</f>
        <v>0.0</v>
      </c>
      <c r="I33" s="26">
        <f>I30*Inputs!$D$20</f>
        <v>0.0</v>
      </c>
      <c r="J33" s="26">
        <f>J30*Inputs!$D$20</f>
        <v>0.0</v>
      </c>
      <c r="K33" s="26">
        <f>K30*Inputs!$D$20</f>
        <v>0.0</v>
      </c>
      <c r="L33" s="26">
        <f>L30*Inputs!$D$20</f>
        <v>37.99</v>
      </c>
      <c r="N33" s="26">
        <f>N30*Inputs!$E$20</f>
        <v>0.0</v>
      </c>
      <c r="O33" s="26">
        <f>O30*Inputs!$E$20</f>
        <v>0.0</v>
      </c>
      <c r="P33" s="26">
        <f>P30*Inputs!$E$20</f>
        <v>0.0</v>
      </c>
      <c r="Q33" s="26">
        <f>Q30*Inputs!$E$20</f>
        <v>0.0</v>
      </c>
      <c r="R33" s="26">
        <f>R30*Inputs!$E$20</f>
        <v>39.99</v>
      </c>
      <c r="T33" s="26">
        <f>T30*Inputs!$F$20</f>
        <v>0.0</v>
      </c>
      <c r="U33" s="26">
        <f>U30*Inputs!$F$20</f>
        <v>0.0</v>
      </c>
      <c r="V33" s="26">
        <f>V30*Inputs!$F$20</f>
        <v>0.0</v>
      </c>
      <c r="W33" s="26">
        <f>W30*Inputs!$F$20</f>
        <v>0.0</v>
      </c>
      <c r="X33" s="26">
        <f>X30*Inputs!$F$20</f>
        <v>43.99</v>
      </c>
    </row>
    <row r="34">
      <c r="A34" s="3" t="inlineStr">
        <is>
          <t>Shipping charged to customer</t>
        </is>
      </c>
      <c r="B34" s="26" t="n">
        <v>0</v>
      </c>
      <c r="C34" s="26" t="n">
        <v>0</v>
      </c>
      <c r="D34" s="26" t="n">
        <v>0</v>
      </c>
      <c r="E34" s="26" t="n">
        <v>0</v>
      </c>
      <c r="F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  <c r="L34" s="26" t="n">
        <v>0</v>
      </c>
      <c r="N34" s="26" t="n">
        <v>0</v>
      </c>
      <c r="O34" s="26" t="n">
        <v>0</v>
      </c>
      <c r="P34" s="26" t="n">
        <v>0</v>
      </c>
      <c r="Q34" s="26" t="n">
        <v>0</v>
      </c>
      <c r="R34" s="26" t="n">
        <v>0</v>
      </c>
      <c r="T34" s="26" t="n">
        <v>0</v>
      </c>
      <c r="U34" s="26" t="n">
        <v>0</v>
      </c>
      <c r="V34" s="26" t="n">
        <v>0</v>
      </c>
      <c r="W34" s="26" t="n">
        <v>0</v>
      </c>
      <c r="X34" s="26" t="n">
        <v>0</v>
      </c>
    </row>
    <row r="35">
      <c r="A35" s="16" t="inlineStr">
        <is>
          <t>Gross revenue</t>
        </is>
      </c>
      <c r="B35" s="23">
        <f>SUM(B31:B34)</f>
        <v>84.99</v>
      </c>
      <c r="C35" s="23">
        <f>SUM(C31:C34)</f>
        <v>84.99</v>
      </c>
      <c r="D35" s="23">
        <f>SUM(D31:D34)</f>
        <v>120.981</v>
      </c>
      <c r="E35" s="23">
        <f>SUM(E31:E34)</f>
        <v>35.991</v>
      </c>
      <c r="F35" s="23">
        <f>SUM(F31:F34)</f>
        <v>39.99</v>
      </c>
      <c r="H35" s="23">
        <f>SUM(H31:H34)</f>
        <v>74.99</v>
      </c>
      <c r="I35" s="23">
        <f>SUM(I31:I34)</f>
        <v>74.99</v>
      </c>
      <c r="J35" s="23">
        <f>SUM(J31:J34)</f>
        <v>109.181</v>
      </c>
      <c r="K35" s="23">
        <f>SUM(K31:K34)</f>
        <v>34.191</v>
      </c>
      <c r="L35" s="23">
        <f>SUM(L31:L34)</f>
        <v>37.99</v>
      </c>
      <c r="N35" s="23">
        <f>SUM(N31:N34)</f>
        <v>84.99</v>
      </c>
      <c r="O35" s="23">
        <f>SUM(O31:O34)</f>
        <v>84.99</v>
      </c>
      <c r="P35" s="23">
        <f>SUM(P31:P34)</f>
        <v>120.981</v>
      </c>
      <c r="Q35" s="23">
        <f>SUM(Q31:Q34)</f>
        <v>35.991</v>
      </c>
      <c r="R35" s="23">
        <f>SUM(R31:R34)</f>
        <v>39.99</v>
      </c>
      <c r="T35" s="23">
        <f>SUM(T31:T34)</f>
        <v>99.99</v>
      </c>
      <c r="U35" s="23">
        <f>SUM(U31:U34)</f>
        <v>99.99</v>
      </c>
      <c r="V35" s="23">
        <f>SUM(V31:V34)</f>
        <v>139.581</v>
      </c>
      <c r="W35" s="23">
        <f>SUM(W31:W34)</f>
        <v>39.591</v>
      </c>
      <c r="X35" s="23">
        <f>SUM(X31:X34)</f>
        <v>43.99</v>
      </c>
    </row>
    <row r="36">
      <c r="A36" s="3" t="inlineStr">
        <is>
          <t>Refunds / returns (revenue reversed)</t>
        </is>
      </c>
      <c r="B36" s="26">
        <f>-(B31*Inputs!$G$105+(B32+B33)*Inputs!$G$107)*$B$12</f>
        <v>-5.9493</v>
      </c>
      <c r="C36" s="26">
        <f>-(C31*Inputs!$G$105+(C32+C33)*Inputs!$G$107)*$B$12</f>
        <v>-5.9493</v>
      </c>
      <c r="D36" s="26">
        <f>-(D31*Inputs!$G$105+(D32+D33)*Inputs!$G$107)*$B$12</f>
        <v>-6.30921</v>
      </c>
      <c r="E36" s="26">
        <f>-(E31*Inputs!$G$105+(E32+E33)*Inputs!$G$107)*$B$12</f>
        <v>-0.35991</v>
      </c>
      <c r="F36" s="26">
        <f>-(F31*Inputs!$G$105+(F32+F33)*Inputs!$G$107)*$B$12</f>
        <v>-0.39990000000000003</v>
      </c>
      <c r="H36" s="26">
        <f>-(H31*Inputs!$D$105+(H32+H33)*Inputs!$D$107)*$H$12</f>
        <v>-8.9988</v>
      </c>
      <c r="I36" s="26">
        <f>-(I31*Inputs!$D$105+(I32+I33)*Inputs!$D$107)*$H$12</f>
        <v>-8.9988</v>
      </c>
      <c r="J36" s="26">
        <f>-(J31*Inputs!$D$105+(J32+J33)*Inputs!$D$107)*$H$12</f>
        <v>-9.68262</v>
      </c>
      <c r="K36" s="26">
        <f>-(K31*Inputs!$D$105+(K32+K33)*Inputs!$D$107)*$H$12</f>
        <v>-0.6838200000000001</v>
      </c>
      <c r="L36" s="26">
        <f>-(L31*Inputs!$D$105+(L32+L33)*Inputs!$D$107)*$H$12</f>
        <v>-0.7598</v>
      </c>
      <c r="N36" s="26">
        <f>-(N31*Inputs!$E$105+(N32+N33)*Inputs!$E$107)*$N$12</f>
        <v>-5.9493</v>
      </c>
      <c r="O36" s="26">
        <f>-(O31*Inputs!$E$105+(O32+O33)*Inputs!$E$107)*$N$12</f>
        <v>-5.9493</v>
      </c>
      <c r="P36" s="26">
        <f>-(P31*Inputs!$E$105+(P32+P33)*Inputs!$E$107)*$N$12</f>
        <v>-6.30921</v>
      </c>
      <c r="Q36" s="26">
        <f>-(Q31*Inputs!$E$105+(Q32+Q33)*Inputs!$E$107)*$N$12</f>
        <v>-0.35991</v>
      </c>
      <c r="R36" s="26">
        <f>-(R31*Inputs!$E$105+(R32+R33)*Inputs!$E$107)*$N$12</f>
        <v>-0.39990000000000003</v>
      </c>
      <c r="T36" s="26">
        <f>-(T31*Inputs!$F$105+(T32+T33)*Inputs!$F$107)*$T$12</f>
        <v>-3.9996</v>
      </c>
      <c r="U36" s="26">
        <f>-(U31*Inputs!$F$105+(U32+U33)*Inputs!$F$107)*$T$12</f>
        <v>-3.9996</v>
      </c>
      <c r="V36" s="26">
        <f>-(V31*Inputs!$F$105+(V32+V33)*Inputs!$F$107)*$T$12</f>
        <v>-4.197555</v>
      </c>
      <c r="W36" s="26">
        <f>-(W31*Inputs!$F$105+(W32+W33)*Inputs!$F$107)*$T$12</f>
        <v>-0.19795500000000002</v>
      </c>
      <c r="X36" s="26">
        <f>-(X31*Inputs!$F$105+(X32+X33)*Inputs!$F$107)*$T$12</f>
        <v>-0.21995</v>
      </c>
    </row>
    <row r="37">
      <c r="A37" s="16" t="inlineStr">
        <is>
          <t>Net revenue</t>
        </is>
      </c>
      <c r="B37" s="23">
        <f>B35+B36</f>
        <v>79.0407</v>
      </c>
      <c r="C37" s="23">
        <f>C35+C36</f>
        <v>79.0407</v>
      </c>
      <c r="D37" s="23">
        <f>D35+D36</f>
        <v>114.67178999999999</v>
      </c>
      <c r="E37" s="23">
        <f>E35+E36</f>
        <v>35.63109</v>
      </c>
      <c r="F37" s="23">
        <f>F35+F36</f>
        <v>39.5901</v>
      </c>
      <c r="H37" s="23">
        <f>H35+H36</f>
        <v>65.99119999999999</v>
      </c>
      <c r="I37" s="23">
        <f>I35+I36</f>
        <v>65.99119999999999</v>
      </c>
      <c r="J37" s="23">
        <f>J35+J36</f>
        <v>99.49838</v>
      </c>
      <c r="K37" s="23">
        <f>K35+K36</f>
        <v>33.507180000000005</v>
      </c>
      <c r="L37" s="23">
        <f>L35+L36</f>
        <v>37.2302</v>
      </c>
      <c r="N37" s="23">
        <f>N35+N36</f>
        <v>79.0407</v>
      </c>
      <c r="O37" s="23">
        <f>O35+O36</f>
        <v>79.0407</v>
      </c>
      <c r="P37" s="23">
        <f>P35+P36</f>
        <v>114.67178999999999</v>
      </c>
      <c r="Q37" s="23">
        <f>Q35+Q36</f>
        <v>35.63109</v>
      </c>
      <c r="R37" s="23">
        <f>R35+R36</f>
        <v>39.5901</v>
      </c>
      <c r="T37" s="23">
        <f>T35+T36</f>
        <v>95.9904</v>
      </c>
      <c r="U37" s="23">
        <f>U35+U36</f>
        <v>95.9904</v>
      </c>
      <c r="V37" s="23">
        <f>V35+V36</f>
        <v>135.383445</v>
      </c>
      <c r="W37" s="23">
        <f>W35+W36</f>
        <v>39.393045</v>
      </c>
      <c r="X37" s="23">
        <f>X35+X36</f>
        <v>43.770050000000005</v>
      </c>
    </row>
    <row r="38">
      <c r="A38" s="3" t="inlineStr">
        <is>
          <t>Product cost - kit</t>
        </is>
      </c>
      <c r="B38" s="26">
        <f>-B28*$B$15</f>
        <v>-56.86200000000001</v>
      </c>
      <c r="C38" s="26">
        <f>-C28*$B$22</f>
        <v>-34.657225</v>
      </c>
      <c r="D38" s="26">
        <f>-D28*$B$22</f>
        <v>-34.657225</v>
      </c>
      <c r="E38" s="26">
        <f>-E28*$B$22</f>
        <v>-0.0</v>
      </c>
      <c r="F38" s="26">
        <f>-F28*$B$22</f>
        <v>-0.0</v>
      </c>
      <c r="H38" s="26">
        <f>-H28*$H$15</f>
        <v>-93.66672</v>
      </c>
      <c r="I38" s="26">
        <f>-I28*$H$22</f>
        <v>-77.19155</v>
      </c>
      <c r="J38" s="26">
        <f>-J28*$H$22</f>
        <v>-77.19155</v>
      </c>
      <c r="K38" s="26">
        <f>-K28*$H$22</f>
        <v>-0.0</v>
      </c>
      <c r="L38" s="26">
        <f>-L28*$H$22</f>
        <v>-0.0</v>
      </c>
      <c r="N38" s="26">
        <f>-N28*$N$15</f>
        <v>-56.86200000000001</v>
      </c>
      <c r="O38" s="26">
        <f>-O28*$N$22</f>
        <v>-34.657225</v>
      </c>
      <c r="P38" s="26">
        <f>-P28*$N$22</f>
        <v>-34.657225</v>
      </c>
      <c r="Q38" s="26">
        <f>-Q28*$N$22</f>
        <v>-0.0</v>
      </c>
      <c r="R38" s="26">
        <f>-R28*$N$22</f>
        <v>-0.0</v>
      </c>
      <c r="T38" s="26">
        <f>-T28*$T$15</f>
        <v>-31.810000000000002</v>
      </c>
      <c r="U38" s="26">
        <f>-U28*$T$22</f>
        <v>-20.9296175</v>
      </c>
      <c r="V38" s="26">
        <f>-V28*$T$22</f>
        <v>-20.9296175</v>
      </c>
      <c r="W38" s="26">
        <f>-W28*$T$22</f>
        <v>-0.0</v>
      </c>
      <c r="X38" s="26">
        <f>-X28*$T$22</f>
        <v>-0.0</v>
      </c>
    </row>
    <row r="39">
      <c r="A39" s="3" t="inlineStr">
        <is>
          <t>Product cost - beans</t>
        </is>
      </c>
      <c r="B39" s="26">
        <f>-(B29+B30)*$B$23</f>
        <v>-0.0</v>
      </c>
      <c r="C39" s="26">
        <f>-(C29+C30)*$B$23</f>
        <v>-0.0</v>
      </c>
      <c r="D39" s="26">
        <f>-(D29+D30)*$B$23</f>
        <v>-24.0</v>
      </c>
      <c r="E39" s="26">
        <f>-(E29+E30)*$B$23</f>
        <v>-24.0</v>
      </c>
      <c r="F39" s="26">
        <f>-(F29+F30)*$B$23</f>
        <v>-24.0</v>
      </c>
      <c r="H39" s="26">
        <f>-(H29+H30)*$H$23</f>
        <v>-0.0</v>
      </c>
      <c r="I39" s="26">
        <f>-(I29+I30)*$H$23</f>
        <v>-0.0</v>
      </c>
      <c r="J39" s="26">
        <f>-(J29+J30)*$H$23</f>
        <v>-26.4</v>
      </c>
      <c r="K39" s="26">
        <f>-(K29+K30)*$H$23</f>
        <v>-26.4</v>
      </c>
      <c r="L39" s="26">
        <f>-(L29+L30)*$H$23</f>
        <v>-26.4</v>
      </c>
      <c r="N39" s="26">
        <f>-(N29+N30)*$N$23</f>
        <v>-0.0</v>
      </c>
      <c r="O39" s="26">
        <f>-(O29+O30)*$N$23</f>
        <v>-0.0</v>
      </c>
      <c r="P39" s="26">
        <f>-(P29+P30)*$N$23</f>
        <v>-24.0</v>
      </c>
      <c r="Q39" s="26">
        <f>-(Q29+Q30)*$N$23</f>
        <v>-24.0</v>
      </c>
      <c r="R39" s="26">
        <f>-(R29+R30)*$N$23</f>
        <v>-24.0</v>
      </c>
      <c r="T39" s="26">
        <f>-(T29+T30)*$T$23</f>
        <v>-0.0</v>
      </c>
      <c r="U39" s="26">
        <f>-(U29+U30)*$T$23</f>
        <v>-0.0</v>
      </c>
      <c r="V39" s="26">
        <f>-(V29+V30)*$T$23</f>
        <v>-18.78</v>
      </c>
      <c r="W39" s="26">
        <f>-(W29+W30)*$T$23</f>
        <v>-18.78</v>
      </c>
      <c r="X39" s="26">
        <f>-(X29+X30)*$T$23</f>
        <v>-18.78</v>
      </c>
    </row>
    <row r="40">
      <c r="A40" s="3" t="inlineStr">
        <is>
          <t>Roaster shipping (beans)</t>
        </is>
      </c>
      <c r="B40" s="26">
        <f>-(B29+B30)*$B$24*$B$9</f>
        <v>-0.0</v>
      </c>
      <c r="C40" s="26">
        <f>-(C29+C30)*$B$24*$B$9</f>
        <v>-0.0</v>
      </c>
      <c r="D40" s="26">
        <f>-(D29+D30)*$B$24*$B$9</f>
        <v>-5.75</v>
      </c>
      <c r="E40" s="26">
        <f>-(E29+E30)*$B$24*$B$9</f>
        <v>-5.75</v>
      </c>
      <c r="F40" s="26">
        <f>-(F29+F30)*$B$24*$B$9</f>
        <v>-5.75</v>
      </c>
      <c r="H40" s="26">
        <f>-(H29+H30)*$H$24*$H$9</f>
        <v>-0.0</v>
      </c>
      <c r="I40" s="26">
        <f>-(I29+I30)*$H$24*$H$9</f>
        <v>-0.0</v>
      </c>
      <c r="J40" s="26">
        <f>-(J29+J30)*$H$24*$H$9</f>
        <v>-5.75</v>
      </c>
      <c r="K40" s="26">
        <f>-(K29+K30)*$H$24*$H$9</f>
        <v>-5.75</v>
      </c>
      <c r="L40" s="26">
        <f>-(L29+L30)*$H$24*$H$9</f>
        <v>-5.75</v>
      </c>
      <c r="N40" s="26">
        <f>-(N29+N30)*$N$24*$N$9</f>
        <v>-0.0</v>
      </c>
      <c r="O40" s="26">
        <f>-(O29+O30)*$N$24*$N$9</f>
        <v>-0.0</v>
      </c>
      <c r="P40" s="26">
        <f>-(P29+P30)*$N$24*$N$9</f>
        <v>-5.75</v>
      </c>
      <c r="Q40" s="26">
        <f>-(Q29+Q30)*$N$24*$N$9</f>
        <v>-5.75</v>
      </c>
      <c r="R40" s="26">
        <f>-(R29+R30)*$N$24*$N$9</f>
        <v>-5.75</v>
      </c>
      <c r="T40" s="26">
        <f>-(T29+T30)*$T$24*$T$9</f>
        <v>-0.0</v>
      </c>
      <c r="U40" s="26">
        <f>-(U29+U30)*$T$24*$T$9</f>
        <v>-0.0</v>
      </c>
      <c r="V40" s="26">
        <f>-(V29+V30)*$T$24*$T$9</f>
        <v>-0.0</v>
      </c>
      <c r="W40" s="26">
        <f>-(W29+W30)*$T$24*$T$9</f>
        <v>-0.0</v>
      </c>
      <c r="X40" s="26">
        <f>-(X29+X30)*$T$24*$T$9</f>
        <v>-0.0</v>
      </c>
    </row>
    <row r="41">
      <c r="A41" s="3" t="inlineStr">
        <is>
          <t>3PL pick/pack + packaging - kit (incl. uplift)</t>
        </is>
      </c>
      <c r="B41" s="26" t="n">
        <v>0</v>
      </c>
      <c r="C41" s="26">
        <f>-C28*(Inputs!$G$88+(Inputs!$G$19-1)*Inputs!$G$89+Inputs!$G$90)*(1+Inputs!$G$92)</f>
        <v>-6.8999999999999995</v>
      </c>
      <c r="D41" s="26">
        <f>-D28*(Inputs!$G$88+(Inputs!$G$19-1)*Inputs!$G$89+Inputs!$G$90)*(1+Inputs!$G$92)</f>
        <v>-6.8999999999999995</v>
      </c>
      <c r="E41" s="26" t="n">
        <v>0</v>
      </c>
      <c r="F41" s="26" t="n">
        <v>0</v>
      </c>
      <c r="H41" s="26" t="n">
        <v>0</v>
      </c>
      <c r="I41" s="26">
        <f>-I28*(Inputs!$D$88+(Inputs!$D$19-1)*Inputs!$D$89+Inputs!$D$90)*(1+Inputs!$D$92)</f>
        <v>-9.450000000000001</v>
      </c>
      <c r="J41" s="26">
        <f>-J28*(Inputs!$D$88+(Inputs!$D$19-1)*Inputs!$D$89+Inputs!$D$90)*(1+Inputs!$D$92)</f>
        <v>-9.450000000000001</v>
      </c>
      <c r="K41" s="26" t="n">
        <v>0</v>
      </c>
      <c r="L41" s="26" t="n">
        <v>0</v>
      </c>
      <c r="N41" s="26" t="n">
        <v>0</v>
      </c>
      <c r="O41" s="26">
        <f>-O28*(Inputs!$E$88+(Inputs!$E$19-1)*Inputs!$E$89+Inputs!$E$90)*(1+Inputs!$E$92)</f>
        <v>-6.8999999999999995</v>
      </c>
      <c r="P41" s="26">
        <f>-P28*(Inputs!$E$88+(Inputs!$E$19-1)*Inputs!$E$89+Inputs!$E$90)*(1+Inputs!$E$92)</f>
        <v>-6.8999999999999995</v>
      </c>
      <c r="Q41" s="26" t="n">
        <v>0</v>
      </c>
      <c r="R41" s="26" t="n">
        <v>0</v>
      </c>
      <c r="T41" s="26" t="n">
        <v>0</v>
      </c>
      <c r="U41" s="26">
        <f>-U28*(Inputs!$F$88+(Inputs!$F$19-1)*Inputs!$F$89+Inputs!$F$90)*(1+Inputs!$F$92)</f>
        <v>-4.620000000000001</v>
      </c>
      <c r="V41" s="26">
        <f>-V28*(Inputs!$F$88+(Inputs!$F$19-1)*Inputs!$F$89+Inputs!$F$90)*(1+Inputs!$F$92)</f>
        <v>-4.620000000000001</v>
      </c>
      <c r="W41" s="26" t="n">
        <v>0</v>
      </c>
      <c r="X41" s="26" t="n">
        <v>0</v>
      </c>
    </row>
    <row r="42">
      <c r="A42" s="3" t="inlineStr">
        <is>
          <t>Postage - kit (USPS Ground Advantage)</t>
        </is>
      </c>
      <c r="B42" s="26" t="n">
        <v>0</v>
      </c>
      <c r="C42" s="26">
        <f>-C28*Inputs!$G$86*$B$9</f>
        <v>-12.12</v>
      </c>
      <c r="D42" s="26">
        <f>-D28*Inputs!$G$86*$B$9</f>
        <v>-12.12</v>
      </c>
      <c r="E42" s="26" t="n">
        <v>0</v>
      </c>
      <c r="F42" s="26" t="n">
        <v>0</v>
      </c>
      <c r="H42" s="26" t="n">
        <v>0</v>
      </c>
      <c r="I42" s="26">
        <f>-I28*Inputs!$D$86*$H$9</f>
        <v>-14.21</v>
      </c>
      <c r="J42" s="26">
        <f>-J28*Inputs!$D$86*$H$9</f>
        <v>-14.21</v>
      </c>
      <c r="K42" s="26" t="n">
        <v>0</v>
      </c>
      <c r="L42" s="26" t="n">
        <v>0</v>
      </c>
      <c r="N42" s="26" t="n">
        <v>0</v>
      </c>
      <c r="O42" s="26">
        <f>-O28*Inputs!$E$86*$N$9</f>
        <v>-12.12</v>
      </c>
      <c r="P42" s="26">
        <f>-P28*Inputs!$E$86*$N$9</f>
        <v>-12.12</v>
      </c>
      <c r="Q42" s="26" t="n">
        <v>0</v>
      </c>
      <c r="R42" s="26" t="n">
        <v>0</v>
      </c>
      <c r="T42" s="26" t="n">
        <v>0</v>
      </c>
      <c r="U42" s="26">
        <f>-U28*Inputs!$F$86*$T$9</f>
        <v>-11.222222222222221</v>
      </c>
      <c r="V42" s="26">
        <f>-V28*Inputs!$F$86*$T$9</f>
        <v>-11.222222222222221</v>
      </c>
      <c r="W42" s="26" t="n">
        <v>0</v>
      </c>
      <c r="X42" s="26" t="n">
        <v>0</v>
      </c>
    </row>
    <row r="43">
      <c r="A43" s="3" t="inlineStr">
        <is>
          <t>Payment processing</t>
        </is>
      </c>
      <c r="B43" s="26">
        <f>-(Inputs!$G$100*B35+Inputs!$G$101)</f>
        <v>-2.76471</v>
      </c>
      <c r="C43" s="26">
        <f>-(Inputs!$G$100*C35+Inputs!$G$101)</f>
        <v>-2.76471</v>
      </c>
      <c r="D43" s="26">
        <f>-(Inputs!$G$100*D35+Inputs!$G$101)</f>
        <v>-3.808449</v>
      </c>
      <c r="E43" s="26">
        <f>-(Inputs!$G$100*E35+Inputs!$G$101)</f>
        <v>-1.343739</v>
      </c>
      <c r="F43" s="26">
        <f>-(Inputs!$G$100*F35+Inputs!$G$101)</f>
        <v>-1.45971</v>
      </c>
      <c r="H43" s="26">
        <f>-(Inputs!$D$100*H35+Inputs!$D$101)</f>
        <v>-2.47471</v>
      </c>
      <c r="I43" s="26">
        <f>-(Inputs!$D$100*I35+Inputs!$D$101)</f>
        <v>-2.47471</v>
      </c>
      <c r="J43" s="26">
        <f>-(Inputs!$D$100*J35+Inputs!$D$101)</f>
        <v>-3.466249</v>
      </c>
      <c r="K43" s="26">
        <f>-(Inputs!$D$100*K35+Inputs!$D$101)</f>
        <v>-1.2915390000000002</v>
      </c>
      <c r="L43" s="26">
        <f>-(Inputs!$D$100*L35+Inputs!$D$101)</f>
        <v>-1.4017100000000002</v>
      </c>
      <c r="N43" s="26">
        <f>-(Inputs!$E$100*N35+Inputs!$E$101)</f>
        <v>-2.76471</v>
      </c>
      <c r="O43" s="26">
        <f>-(Inputs!$E$100*O35+Inputs!$E$101)</f>
        <v>-2.76471</v>
      </c>
      <c r="P43" s="26">
        <f>-(Inputs!$E$100*P35+Inputs!$E$101)</f>
        <v>-3.808449</v>
      </c>
      <c r="Q43" s="26">
        <f>-(Inputs!$E$100*Q35+Inputs!$E$101)</f>
        <v>-1.343739</v>
      </c>
      <c r="R43" s="26">
        <f>-(Inputs!$E$100*R35+Inputs!$E$101)</f>
        <v>-1.45971</v>
      </c>
      <c r="T43" s="26">
        <f>-(Inputs!$F$100*T35+Inputs!$F$101)</f>
        <v>-3.1997099999999996</v>
      </c>
      <c r="U43" s="26">
        <f>-(Inputs!$F$100*U35+Inputs!$F$101)</f>
        <v>-3.1997099999999996</v>
      </c>
      <c r="V43" s="26">
        <f>-(Inputs!$F$100*V35+Inputs!$F$101)</f>
        <v>-4.347849</v>
      </c>
      <c r="W43" s="26">
        <f>-(Inputs!$F$100*W35+Inputs!$F$101)</f>
        <v>-1.448139</v>
      </c>
      <c r="X43" s="26">
        <f>-(Inputs!$F$100*X35+Inputs!$F$101)</f>
        <v>-1.5757100000000002</v>
      </c>
    </row>
    <row r="44">
      <c r="A44" s="3" t="inlineStr">
        <is>
          <t>Warranty replacements (expected)</t>
        </is>
      </c>
      <c r="B44" s="26">
        <f>-Inputs!$G$106*$B$12*$B$15</f>
        <v>-1.1372400000000003</v>
      </c>
      <c r="C44" s="26">
        <f>-Inputs!$G$106*$B$12*($B$22+(Inputs!$G$88+(Inputs!$G$19-1)*Inputs!$G$89+Inputs!$G$90)*(1+Inputs!$G$92)+Inputs!$G$86*$B$9)</f>
        <v>-1.0735445</v>
      </c>
      <c r="D44" s="26">
        <f>-Inputs!$G$106*$B$12*($B$22+(Inputs!$G$88+(Inputs!$G$19-1)*Inputs!$G$89+Inputs!$G$90)*(1+Inputs!$G$92)+Inputs!$G$86*$B$9)</f>
        <v>-1.0735445</v>
      </c>
      <c r="E44" s="26" t="n">
        <v>0</v>
      </c>
      <c r="F44" s="26" t="n">
        <v>0</v>
      </c>
      <c r="H44" s="26">
        <f>-Inputs!$D$106*$H$12*$H$15</f>
        <v>-2.8100015999999997</v>
      </c>
      <c r="I44" s="26">
        <f>-Inputs!$D$106*$H$12*($H$22+(Inputs!$D$88+(Inputs!$D$19-1)*Inputs!$D$89+Inputs!$D$90)*(1+Inputs!$D$92)+Inputs!$D$86*$H$9)</f>
        <v>-3.0255465</v>
      </c>
      <c r="J44" s="26">
        <f>-Inputs!$D$106*$H$12*($H$22+(Inputs!$D$88+(Inputs!$D$19-1)*Inputs!$D$89+Inputs!$D$90)*(1+Inputs!$D$92)+Inputs!$D$86*$H$9)</f>
        <v>-3.0255465</v>
      </c>
      <c r="K44" s="26" t="n">
        <v>0</v>
      </c>
      <c r="L44" s="26" t="n">
        <v>0</v>
      </c>
      <c r="N44" s="26">
        <f>-Inputs!$E$106*$N$12*$N$15</f>
        <v>-1.1372400000000003</v>
      </c>
      <c r="O44" s="26">
        <f>-Inputs!$E$106*$N$12*($N$22+(Inputs!$E$88+(Inputs!$E$19-1)*Inputs!$E$89+Inputs!$E$90)*(1+Inputs!$E$92)+Inputs!$E$86*$N$9)</f>
        <v>-1.0735445</v>
      </c>
      <c r="P44" s="26">
        <f>-Inputs!$E$106*$N$12*($N$22+(Inputs!$E$88+(Inputs!$E$19-1)*Inputs!$E$89+Inputs!$E$90)*(1+Inputs!$E$92)+Inputs!$E$86*$N$9)</f>
        <v>-1.0735445</v>
      </c>
      <c r="Q44" s="26" t="n">
        <v>0</v>
      </c>
      <c r="R44" s="26" t="n">
        <v>0</v>
      </c>
      <c r="T44" s="26">
        <f>-Inputs!$F$106*$T$12*$T$15</f>
        <v>-0.31810000000000005</v>
      </c>
      <c r="U44" s="26">
        <f>-Inputs!$F$106*$T$12*($T$22+(Inputs!$F$88+(Inputs!$F$19-1)*Inputs!$F$89+Inputs!$F$90)*(1+Inputs!$F$92)+Inputs!$F$86*$T$9)</f>
        <v>-0.36771839722222227</v>
      </c>
      <c r="V44" s="26">
        <f>-Inputs!$F$106*$T$12*($T$22+(Inputs!$F$88+(Inputs!$F$19-1)*Inputs!$F$89+Inputs!$F$90)*(1+Inputs!$F$92)+Inputs!$F$86*$T$9)</f>
        <v>-0.36771839722222227</v>
      </c>
      <c r="W44" s="26" t="n">
        <v>0</v>
      </c>
      <c r="X44" s="26" t="n">
        <v>0</v>
      </c>
    </row>
    <row r="45">
      <c r="A45" s="3" t="inlineStr">
        <is>
          <t>Lost / duty-refused parcels (test stage)</t>
        </is>
      </c>
      <c r="B45" s="26">
        <f>-Inputs!$G$28*$B$15</f>
        <v>-2.8431000000000006</v>
      </c>
      <c r="C45" s="26" t="n">
        <v>0</v>
      </c>
      <c r="D45" s="26" t="n">
        <v>0</v>
      </c>
      <c r="E45" s="26" t="n">
        <v>0</v>
      </c>
      <c r="F45" s="26" t="n">
        <v>0</v>
      </c>
      <c r="H45" s="26">
        <f>-Inputs!$D$28*$H$15</f>
        <v>-6.556670400000001</v>
      </c>
      <c r="I45" s="26" t="n">
        <v>0</v>
      </c>
      <c r="J45" s="26" t="n">
        <v>0</v>
      </c>
      <c r="K45" s="26" t="n">
        <v>0</v>
      </c>
      <c r="L45" s="26" t="n">
        <v>0</v>
      </c>
      <c r="N45" s="26">
        <f>-Inputs!$E$28*$N$15</f>
        <v>-2.8431000000000006</v>
      </c>
      <c r="O45" s="26" t="n">
        <v>0</v>
      </c>
      <c r="P45" s="26" t="n">
        <v>0</v>
      </c>
      <c r="Q45" s="26" t="n">
        <v>0</v>
      </c>
      <c r="R45" s="26" t="n">
        <v>0</v>
      </c>
      <c r="T45" s="26">
        <f>-Inputs!$F$28*$T$15</f>
        <v>-0.6362000000000001</v>
      </c>
      <c r="U45" s="26" t="n">
        <v>0</v>
      </c>
      <c r="V45" s="26" t="n">
        <v>0</v>
      </c>
      <c r="W45" s="26" t="n">
        <v>0</v>
      </c>
      <c r="X45" s="26" t="n">
        <v>0</v>
      </c>
    </row>
    <row r="46">
      <c r="A46" s="3" t="inlineStr">
        <is>
          <t>Returns processing (3PL)</t>
        </is>
      </c>
      <c r="B46" s="26" t="n">
        <v>0</v>
      </c>
      <c r="C46" s="26">
        <f>-Inputs!$G$105*$B$12*Inputs!$G$93</f>
        <v>-0.2842</v>
      </c>
      <c r="D46" s="26">
        <f>-Inputs!$G$105*$B$12*Inputs!$G$93</f>
        <v>-0.2842</v>
      </c>
      <c r="E46" s="26" t="n">
        <v>0</v>
      </c>
      <c r="F46" s="26" t="n">
        <v>0</v>
      </c>
      <c r="H46" s="26" t="n">
        <v>0</v>
      </c>
      <c r="I46" s="26">
        <f>-Inputs!$D$105*$H$12*Inputs!$D$93</f>
        <v>-0.84</v>
      </c>
      <c r="J46" s="26">
        <f>-Inputs!$D$105*$H$12*Inputs!$D$93</f>
        <v>-0.84</v>
      </c>
      <c r="K46" s="26" t="n">
        <v>0</v>
      </c>
      <c r="L46" s="26" t="n">
        <v>0</v>
      </c>
      <c r="N46" s="26" t="n">
        <v>0</v>
      </c>
      <c r="O46" s="26">
        <f>-Inputs!$E$105*$N$12*Inputs!$E$93</f>
        <v>-0.2842</v>
      </c>
      <c r="P46" s="26">
        <f>-Inputs!$E$105*$N$12*Inputs!$E$93</f>
        <v>-0.2842</v>
      </c>
      <c r="Q46" s="26" t="n">
        <v>0</v>
      </c>
      <c r="R46" s="26" t="n">
        <v>0</v>
      </c>
      <c r="T46" s="26" t="n">
        <v>0</v>
      </c>
      <c r="U46" s="26">
        <f>-Inputs!$F$105*$T$12*Inputs!$F$93</f>
        <v>-0.04</v>
      </c>
      <c r="V46" s="26">
        <f>-Inputs!$F$105*$T$12*Inputs!$F$93</f>
        <v>-0.04</v>
      </c>
      <c r="W46" s="26" t="n">
        <v>0</v>
      </c>
      <c r="X46" s="26" t="n">
        <v>0</v>
      </c>
    </row>
    <row r="47">
      <c r="A47" s="3" t="inlineStr">
        <is>
          <t>Chargebacks (expected)</t>
        </is>
      </c>
      <c r="B47" s="26">
        <f>-Inputs!$G$108*(B35+Inputs!$G$109)</f>
        <v>-0.29997</v>
      </c>
      <c r="C47" s="26">
        <f>-Inputs!$G$108*(C35+Inputs!$G$109)</f>
        <v>-0.29997</v>
      </c>
      <c r="D47" s="26">
        <f>-Inputs!$G$108*(D35+Inputs!$G$109)</f>
        <v>-0.407943</v>
      </c>
      <c r="E47" s="26">
        <f>-Inputs!$G$108*(E35+Inputs!$G$109)</f>
        <v>-0.152973</v>
      </c>
      <c r="F47" s="26">
        <f>-Inputs!$G$108*(F35+Inputs!$G$109)</f>
        <v>-0.16497</v>
      </c>
      <c r="H47" s="26">
        <f>-Inputs!$D$108*(H35+Inputs!$D$109)</f>
        <v>-0.53994</v>
      </c>
      <c r="I47" s="26">
        <f>-Inputs!$D$108*(I35+Inputs!$D$109)</f>
        <v>-0.53994</v>
      </c>
      <c r="J47" s="26">
        <f>-Inputs!$D$108*(J35+Inputs!$D$109)</f>
        <v>-0.745086</v>
      </c>
      <c r="K47" s="26">
        <f>-Inputs!$D$108*(K35+Inputs!$D$109)</f>
        <v>-0.295146</v>
      </c>
      <c r="L47" s="26">
        <f>-Inputs!$D$108*(L35+Inputs!$D$109)</f>
        <v>-0.31794</v>
      </c>
      <c r="N47" s="26">
        <f>-Inputs!$E$108*(N35+Inputs!$E$109)</f>
        <v>-0.29997</v>
      </c>
      <c r="O47" s="26">
        <f>-Inputs!$E$108*(O35+Inputs!$E$109)</f>
        <v>-0.29997</v>
      </c>
      <c r="P47" s="26">
        <f>-Inputs!$E$108*(P35+Inputs!$E$109)</f>
        <v>-0.407943</v>
      </c>
      <c r="Q47" s="26">
        <f>-Inputs!$E$108*(Q35+Inputs!$E$109)</f>
        <v>-0.152973</v>
      </c>
      <c r="R47" s="26">
        <f>-Inputs!$E$108*(R35+Inputs!$E$109)</f>
        <v>-0.16497</v>
      </c>
      <c r="T47" s="26">
        <f>-Inputs!$F$108*(T35+Inputs!$F$109)</f>
        <v>-0.172485</v>
      </c>
      <c r="U47" s="26">
        <f>-Inputs!$F$108*(U35+Inputs!$F$109)</f>
        <v>-0.172485</v>
      </c>
      <c r="V47" s="26">
        <f>-Inputs!$F$108*(V35+Inputs!$F$109)</f>
        <v>-0.23187149999999998</v>
      </c>
      <c r="W47" s="26">
        <f>-Inputs!$F$108*(W35+Inputs!$F$109)</f>
        <v>-0.0818865</v>
      </c>
      <c r="X47" s="26">
        <f>-Inputs!$F$108*(X35+Inputs!$F$109)</f>
        <v>-0.08848500000000001</v>
      </c>
    </row>
    <row r="48">
      <c r="A48" s="3" t="inlineStr">
        <is>
          <t>Affiliate commissions (expected)</t>
        </is>
      </c>
      <c r="B48" s="26">
        <f>-Inputs!$G$122*Inputs!$G$124*B35</f>
        <v>-0.50994</v>
      </c>
      <c r="C48" s="26">
        <f>-Inputs!$G$122*Inputs!$G$124*C35</f>
        <v>-0.50994</v>
      </c>
      <c r="D48" s="26">
        <f>-Inputs!$G$122*Inputs!$G$124*D35</f>
        <v>-0.725886</v>
      </c>
      <c r="E48" s="26" t="n">
        <v>0</v>
      </c>
      <c r="F48" s="26" t="n">
        <v>0</v>
      </c>
      <c r="H48" s="26">
        <f>-Inputs!$D$122*Inputs!$D$124*H35</f>
        <v>-0.269964</v>
      </c>
      <c r="I48" s="26">
        <f>-Inputs!$D$122*Inputs!$D$124*I35</f>
        <v>-0.269964</v>
      </c>
      <c r="J48" s="26">
        <f>-Inputs!$D$122*Inputs!$D$124*J35</f>
        <v>-0.3930516</v>
      </c>
      <c r="K48" s="26" t="n">
        <v>0</v>
      </c>
      <c r="L48" s="26" t="n">
        <v>0</v>
      </c>
      <c r="N48" s="26">
        <f>-Inputs!$E$122*Inputs!$E$124*N35</f>
        <v>-0.50994</v>
      </c>
      <c r="O48" s="26">
        <f>-Inputs!$E$122*Inputs!$E$124*O35</f>
        <v>-0.50994</v>
      </c>
      <c r="P48" s="26">
        <f>-Inputs!$E$122*Inputs!$E$124*P35</f>
        <v>-0.725886</v>
      </c>
      <c r="Q48" s="26" t="n">
        <v>0</v>
      </c>
      <c r="R48" s="26" t="n">
        <v>0</v>
      </c>
      <c r="T48" s="26">
        <f>-Inputs!$F$122*Inputs!$F$124*T35</f>
        <v>-0.79992</v>
      </c>
      <c r="U48" s="26">
        <f>-Inputs!$F$122*Inputs!$F$124*U35</f>
        <v>-0.79992</v>
      </c>
      <c r="V48" s="26">
        <f>-Inputs!$F$122*Inputs!$F$124*V35</f>
        <v>-1.1166479999999999</v>
      </c>
      <c r="W48" s="26" t="n">
        <v>0</v>
      </c>
      <c r="X48" s="26" t="n">
        <v>0</v>
      </c>
    </row>
    <row r="49">
      <c r="A49" s="3" t="inlineStr">
        <is>
          <t>Total variable costs</t>
        </is>
      </c>
      <c r="B49" s="23">
        <f>SUM(B38:B48)</f>
        <v>-64.41696</v>
      </c>
      <c r="C49" s="23">
        <f>SUM(C38:C48)</f>
        <v>-58.6095895</v>
      </c>
      <c r="D49" s="23">
        <f>SUM(D38:D48)</f>
        <v>-89.72724749999999</v>
      </c>
      <c r="E49" s="23">
        <f>SUM(E38:E48)</f>
        <v>-31.246712</v>
      </c>
      <c r="F49" s="23">
        <f>SUM(F38:F48)</f>
        <v>-31.37468</v>
      </c>
      <c r="H49" s="23">
        <f>SUM(H38:H48)</f>
        <v>-106.318006</v>
      </c>
      <c r="I49" s="23">
        <f>SUM(I38:I48)</f>
        <v>-108.0017105</v>
      </c>
      <c r="J49" s="23">
        <f>SUM(J38:J48)</f>
        <v>-141.4714831</v>
      </c>
      <c r="K49" s="23">
        <f>SUM(K38:K48)</f>
        <v>-33.736685</v>
      </c>
      <c r="L49" s="23">
        <f>SUM(L38:L48)</f>
        <v>-33.86965</v>
      </c>
      <c r="N49" s="23">
        <f>SUM(N38:N48)</f>
        <v>-64.41696</v>
      </c>
      <c r="O49" s="23">
        <f>SUM(O38:O48)</f>
        <v>-58.6095895</v>
      </c>
      <c r="P49" s="23">
        <f>SUM(P38:P48)</f>
        <v>-89.72724749999999</v>
      </c>
      <c r="Q49" s="23">
        <f>SUM(Q38:Q48)</f>
        <v>-31.246712</v>
      </c>
      <c r="R49" s="23">
        <f>SUM(R38:R48)</f>
        <v>-31.37468</v>
      </c>
      <c r="T49" s="23">
        <f>SUM(T38:T48)</f>
        <v>-36.936415000000004</v>
      </c>
      <c r="U49" s="23">
        <f>SUM(U38:U48)</f>
        <v>-41.35167311944444</v>
      </c>
      <c r="V49" s="23">
        <f>SUM(V38:V48)</f>
        <v>-61.65592661944444</v>
      </c>
      <c r="W49" s="23">
        <f>SUM(W38:W48)</f>
        <v>-20.310025500000002</v>
      </c>
      <c r="X49" s="23">
        <f>SUM(X38:X48)</f>
        <v>-20.444195</v>
      </c>
    </row>
    <row r="50">
      <c r="A50" s="16" t="inlineStr">
        <is>
          <t>CONTRIBUTION BEFORE ADS</t>
        </is>
      </c>
      <c r="B50" s="42">
        <f>B37+B49</f>
        <v>14.623739999999998</v>
      </c>
      <c r="C50" s="42">
        <f>C37+C49</f>
        <v>20.431110500000003</v>
      </c>
      <c r="D50" s="42">
        <f>D37+D49</f>
        <v>24.944542499999997</v>
      </c>
      <c r="E50" s="42">
        <f>E37+E49</f>
        <v>4.384378000000002</v>
      </c>
      <c r="F50" s="42">
        <f>F37+F49</f>
        <v>8.215419999999998</v>
      </c>
      <c r="H50" s="42">
        <f>H37+H49</f>
        <v>-40.326806000000005</v>
      </c>
      <c r="I50" s="42">
        <f>I37+I49</f>
        <v>-42.01051050000001</v>
      </c>
      <c r="J50" s="42">
        <f>J37+J49</f>
        <v>-41.9731031</v>
      </c>
      <c r="K50" s="42">
        <f>K37+K49</f>
        <v>-0.22950499999999607</v>
      </c>
      <c r="L50" s="42">
        <f>L37+L49</f>
        <v>3.3605500000000035</v>
      </c>
      <c r="N50" s="42">
        <f>N37+N49</f>
        <v>14.623739999999998</v>
      </c>
      <c r="O50" s="42">
        <f>O37+O49</f>
        <v>20.431110500000003</v>
      </c>
      <c r="P50" s="42">
        <f>P37+P49</f>
        <v>24.944542499999997</v>
      </c>
      <c r="Q50" s="42">
        <f>Q37+Q49</f>
        <v>4.384378000000002</v>
      </c>
      <c r="R50" s="42">
        <f>R37+R49</f>
        <v>8.215419999999998</v>
      </c>
      <c r="T50" s="42">
        <f>T37+T49</f>
        <v>59.05398499999999</v>
      </c>
      <c r="U50" s="42">
        <f>U37+U49</f>
        <v>54.63872688055555</v>
      </c>
      <c r="V50" s="42">
        <f>V37+V49</f>
        <v>73.72751838055555</v>
      </c>
      <c r="W50" s="42">
        <f>W37+W49</f>
        <v>19.0830195</v>
      </c>
      <c r="X50" s="42">
        <f>X37+X49</f>
        <v>23.325855000000004</v>
      </c>
    </row>
    <row r="51">
      <c r="A51" s="3" t="inlineStr">
        <is>
          <t>Contribution margin (% of net revenue)</t>
        </is>
      </c>
      <c r="B51" s="34">
        <f>IFERROR(B50/B37,0)</f>
        <v>0.18501531489473141</v>
      </c>
      <c r="C51" s="34">
        <f>IFERROR(C50/C37,0)</f>
        <v>0.25848848125079865</v>
      </c>
      <c r="D51" s="34">
        <f>IFERROR(D50/D37,0)</f>
        <v>0.21752989553926036</v>
      </c>
      <c r="E51" s="34">
        <f>IFERROR(E50/E37,0)</f>
        <v>0.12304922470797278</v>
      </c>
      <c r="F51" s="34">
        <f>IFERROR(F50/F37,0)</f>
        <v>0.2075119790048522</v>
      </c>
      <c r="H51" s="34">
        <f>IFERROR(H50/H37,0)</f>
        <v>-0.6110936912800496</v>
      </c>
      <c r="I51" s="34">
        <f>IFERROR(I50/I37,0)</f>
        <v>-0.6366077673992898</v>
      </c>
      <c r="J51" s="34">
        <f>IFERROR(J50/J37,0)</f>
        <v>-0.42184710042515267</v>
      </c>
      <c r="K51" s="34">
        <f>IFERROR(K50/K37,0)</f>
        <v>-0.0068494274958380875</v>
      </c>
      <c r="L51" s="34">
        <f>IFERROR(L50/L37,0)</f>
        <v>0.09026408668231713</v>
      </c>
      <c r="N51" s="34">
        <f>IFERROR(N50/N37,0)</f>
        <v>0.18501531489473141</v>
      </c>
      <c r="O51" s="34">
        <f>IFERROR(O50/O37,0)</f>
        <v>0.25848848125079865</v>
      </c>
      <c r="P51" s="34">
        <f>IFERROR(P50/P37,0)</f>
        <v>0.21752989553926036</v>
      </c>
      <c r="Q51" s="34">
        <f>IFERROR(Q50/Q37,0)</f>
        <v>0.12304922470797278</v>
      </c>
      <c r="R51" s="34">
        <f>IFERROR(R50/R37,0)</f>
        <v>0.2075119790048522</v>
      </c>
      <c r="T51" s="34">
        <f>IFERROR(T50/T37,0)</f>
        <v>0.6152071978031136</v>
      </c>
      <c r="U51" s="34">
        <f>IFERROR(U50/U37,0)</f>
        <v>0.5692103260383908</v>
      </c>
      <c r="V51" s="34">
        <f>IFERROR(V50/V37,0)</f>
        <v>0.5445829686233464</v>
      </c>
      <c r="W51" s="34">
        <f>IFERROR(W50/W37,0)</f>
        <v>0.48442610872046066</v>
      </c>
      <c r="X51" s="34">
        <f>IFERROR(X50/X37,0)</f>
        <v>0.5329181712152489</v>
      </c>
    </row>
    <row r="52">
      <c r="A52" s="3" t="inlineStr">
        <is>
          <t>Paid CPA (first orders only)</t>
        </is>
      </c>
      <c r="B52" s="26">
        <f>-Inputs!$G$113*$B$7</f>
        <v>-60.0</v>
      </c>
      <c r="C52" s="26">
        <f>-Inputs!$G$114*$B$7</f>
        <v>-45.0</v>
      </c>
      <c r="D52" s="26">
        <f>-Inputs!$G$114*$B$7</f>
        <v>-45.0</v>
      </c>
      <c r="E52" s="26" t="n">
        <v>0</v>
      </c>
      <c r="F52" s="26" t="n">
        <v>0</v>
      </c>
      <c r="H52" s="26">
        <f>-Inputs!$D$113*$H$7</f>
        <v>-85.0</v>
      </c>
      <c r="I52" s="26">
        <f>-Inputs!$D$114*$H$7</f>
        <v>-64.0</v>
      </c>
      <c r="J52" s="26">
        <f>-Inputs!$D$114*$H$7</f>
        <v>-64.0</v>
      </c>
      <c r="K52" s="26" t="n">
        <v>0</v>
      </c>
      <c r="L52" s="26" t="n">
        <v>0</v>
      </c>
      <c r="N52" s="26">
        <f>-Inputs!$E$113*$N$7</f>
        <v>-60.0</v>
      </c>
      <c r="O52" s="26">
        <f>-Inputs!$E$114*$N$7</f>
        <v>-45.0</v>
      </c>
      <c r="P52" s="26">
        <f>-Inputs!$E$114*$N$7</f>
        <v>-45.0</v>
      </c>
      <c r="Q52" s="26" t="n">
        <v>0</v>
      </c>
      <c r="R52" s="26" t="n">
        <v>0</v>
      </c>
      <c r="T52" s="26">
        <f>-Inputs!$F$113*$T$7</f>
        <v>-40.0</v>
      </c>
      <c r="U52" s="26">
        <f>-Inputs!$F$114*$T$7</f>
        <v>-30.0</v>
      </c>
      <c r="V52" s="26">
        <f>-Inputs!$F$114*$T$7</f>
        <v>-30.0</v>
      </c>
      <c r="W52" s="26" t="n">
        <v>0</v>
      </c>
      <c r="X52" s="26" t="n">
        <v>0</v>
      </c>
    </row>
    <row r="53">
      <c r="A53" s="16" t="inlineStr">
        <is>
          <t>CONTRIBUTION AFTER CPA</t>
        </is>
      </c>
      <c r="B53" s="42">
        <f>B50+B52</f>
        <v>-45.37626</v>
      </c>
      <c r="C53" s="42">
        <f>C50+C52</f>
        <v>-24.568889499999997</v>
      </c>
      <c r="D53" s="42">
        <f>D50+D52</f>
        <v>-20.055457500000003</v>
      </c>
      <c r="E53" s="42">
        <f>E50+E52</f>
        <v>4.384378000000002</v>
      </c>
      <c r="F53" s="42">
        <f>F50+F52</f>
        <v>8.215419999999998</v>
      </c>
      <c r="H53" s="42">
        <f>H50+H52</f>
        <v>-125.326806</v>
      </c>
      <c r="I53" s="42">
        <f>I50+I52</f>
        <v>-106.01051050000001</v>
      </c>
      <c r="J53" s="42">
        <f>J50+J52</f>
        <v>-105.9731031</v>
      </c>
      <c r="K53" s="42">
        <f>K50+K52</f>
        <v>-0.22950499999999607</v>
      </c>
      <c r="L53" s="42">
        <f>L50+L52</f>
        <v>3.3605500000000035</v>
      </c>
      <c r="N53" s="42">
        <f>N50+N52</f>
        <v>-45.37626</v>
      </c>
      <c r="O53" s="42">
        <f>O50+O52</f>
        <v>-24.568889499999997</v>
      </c>
      <c r="P53" s="42">
        <f>P50+P52</f>
        <v>-20.055457500000003</v>
      </c>
      <c r="Q53" s="42">
        <f>Q50+Q52</f>
        <v>4.384378000000002</v>
      </c>
      <c r="R53" s="42">
        <f>R50+R52</f>
        <v>8.215419999999998</v>
      </c>
      <c r="T53" s="42">
        <f>T50+T52</f>
        <v>19.05398499999999</v>
      </c>
      <c r="U53" s="42">
        <f>U50+U52</f>
        <v>24.638726880555552</v>
      </c>
      <c r="V53" s="42">
        <f>V50+V52</f>
        <v>43.72751838055555</v>
      </c>
      <c r="W53" s="42">
        <f>W50+W52</f>
        <v>19.0830195</v>
      </c>
      <c r="X53" s="42">
        <f>X50+X52</f>
        <v>23.325855000000004</v>
      </c>
    </row>
    <row r="54">
      <c r="A54" s="3" t="inlineStr">
        <is>
          <t>Break-even CPA (= contribution before ads)</t>
        </is>
      </c>
      <c r="B54" s="26">
        <f>B50</f>
        <v>14.623739999999998</v>
      </c>
      <c r="C54" s="26">
        <f>C50</f>
        <v>20.431110500000003</v>
      </c>
      <c r="D54" s="26">
        <f>D50</f>
        <v>24.944542499999997</v>
      </c>
      <c r="E54" s="26" t="inlineStr">
        <is>
          <t>n/a</t>
        </is>
      </c>
      <c r="F54" s="26" t="inlineStr">
        <is>
          <t>n/a</t>
        </is>
      </c>
      <c r="H54" s="26">
        <f>H50</f>
        <v>-40.326806000000005</v>
      </c>
      <c r="I54" s="26">
        <f>I50</f>
        <v>-42.01051050000001</v>
      </c>
      <c r="J54" s="26">
        <f>J50</f>
        <v>-41.9731031</v>
      </c>
      <c r="K54" s="26" t="inlineStr">
        <is>
          <t>n/a</t>
        </is>
      </c>
      <c r="L54" s="26" t="inlineStr">
        <is>
          <t>n/a</t>
        </is>
      </c>
      <c r="N54" s="26">
        <f>N50</f>
        <v>14.623739999999998</v>
      </c>
      <c r="O54" s="26">
        <f>O50</f>
        <v>20.431110500000003</v>
      </c>
      <c r="P54" s="26">
        <f>P50</f>
        <v>24.944542499999997</v>
      </c>
      <c r="Q54" s="26" t="inlineStr">
        <is>
          <t>n/a</t>
        </is>
      </c>
      <c r="R54" s="26" t="inlineStr">
        <is>
          <t>n/a</t>
        </is>
      </c>
      <c r="T54" s="26">
        <f>T50</f>
        <v>59.05398499999999</v>
      </c>
      <c r="U54" s="26">
        <f>U50</f>
        <v>54.63872688055555</v>
      </c>
      <c r="V54" s="26">
        <f>V50</f>
        <v>73.72751838055555</v>
      </c>
      <c r="W54" s="26" t="inlineStr">
        <is>
          <t>n/a</t>
        </is>
      </c>
      <c r="X54" s="26" t="inlineStr">
        <is>
          <t>n/a</t>
        </is>
      </c>
    </row>
    <row r="56">
      <c r="A56" s="4" t="inlineStr">
        <is>
          <t>Cohort first-order mix (per new customer; value in first column of each group)</t>
        </is>
      </c>
    </row>
    <row r="57">
      <c r="A57" s="16" t="inlineStr">
        <is>
          <t>First-order contribution before ads (mix)</t>
        </is>
      </c>
      <c r="B57" s="23">
        <f>IF(Inputs!$D$4=1,B50+Inputs!$G$144*E50,(1-Inputs!$G$144)*C50+Inputs!$G$144*D50)</f>
        <v>21.1081253</v>
      </c>
      <c r="H57" s="23">
        <f>IF(Inputs!$D$4=1,H50+Inputs!$D$144*K50,(1-Inputs!$D$144)*I50+Inputs!$D$144*J50)</f>
        <v>-42.00751790800001</v>
      </c>
      <c r="N57" s="23">
        <f>IF(Inputs!$D$4=1,N50+Inputs!$E$144*Q50,(1-Inputs!$E$144)*O50+Inputs!$E$144*P50)</f>
        <v>21.1081253</v>
      </c>
      <c r="T57" s="23">
        <f>IF(Inputs!$D$4=1,T50+Inputs!$F$144*W50,(1-Inputs!$F$144)*U50+Inputs!$F$144*V50)</f>
        <v>59.41092475555555</v>
      </c>
    </row>
    <row r="58">
      <c r="A58" s="3" t="inlineStr">
        <is>
          <t>First-order net revenue (mix)</t>
        </is>
      </c>
      <c r="B58" s="26">
        <f>IF(Inputs!$D$4=1,B37+Inputs!$G$144*E37,(1-Inputs!$G$144)*C37+Inputs!$G$144*D37)</f>
        <v>84.3853635</v>
      </c>
      <c r="H58" s="26">
        <f>IF(Inputs!$D$4=1,H37+Inputs!$D$144*K37,(1-Inputs!$D$144)*I37+Inputs!$D$144*J37)</f>
        <v>68.6717744</v>
      </c>
      <c r="N58" s="26">
        <f>IF(Inputs!$D$4=1,N37+Inputs!$E$144*Q37,(1-Inputs!$E$144)*O37+Inputs!$E$144*P37)</f>
        <v>84.3853635</v>
      </c>
      <c r="T58" s="26">
        <f>IF(Inputs!$D$4=1,T37+Inputs!$F$144*W37,(1-Inputs!$F$144)*U37+Inputs!$F$144*V37)</f>
        <v>105.83866124999999</v>
      </c>
    </row>
    <row r="59">
      <c r="A59" s="3" t="inlineStr">
        <is>
          <t>First-order gross revenue (mix)</t>
        </is>
      </c>
      <c r="B59" s="26">
        <f>IF(Inputs!$D$4=1,B35+Inputs!$G$144*E35,(1-Inputs!$G$144)*C35+Inputs!$G$144*D35)</f>
        <v>90.38864999999998</v>
      </c>
      <c r="H59" s="26">
        <f>IF(Inputs!$D$4=1,H35+Inputs!$D$144*K35,(1-Inputs!$D$144)*I35+Inputs!$D$144*J35)</f>
        <v>77.72528</v>
      </c>
      <c r="N59" s="26">
        <f>IF(Inputs!$D$4=1,N35+Inputs!$E$144*Q35,(1-Inputs!$E$144)*O35+Inputs!$E$144*P35)</f>
        <v>90.38864999999998</v>
      </c>
      <c r="T59" s="26">
        <f>IF(Inputs!$D$4=1,T35+Inputs!$F$144*W35,(1-Inputs!$F$144)*U35+Inputs!$F$144*V35)</f>
        <v>109.88774999999998</v>
      </c>
    </row>
    <row r="60">
      <c r="A60" s="3" t="inlineStr">
        <is>
          <t>Paid CAC per new customer (by stage)</t>
        </is>
      </c>
      <c r="B60" s="26">
        <f>IF(Inputs!$D$4=1,Inputs!$G$113,Inputs!$G$114)*$B$7</f>
        <v>45.0</v>
      </c>
      <c r="H60" s="26">
        <f>IF(Inputs!$D$4=1,Inputs!$D$113,Inputs!$D$114)*$H$7</f>
        <v>64.0</v>
      </c>
      <c r="N60" s="26">
        <f>IF(Inputs!$D$4=1,Inputs!$E$113,Inputs!$E$114)*$N$7</f>
        <v>45.0</v>
      </c>
      <c r="T60" s="26">
        <f>IF(Inputs!$D$4=1,Inputs!$F$113,Inputs!$F$114)*$T$7</f>
        <v>30.0</v>
      </c>
    </row>
    <row r="61">
      <c r="A61" s="16" t="inlineStr">
        <is>
          <t>FIRST-ORDER CONTRIBUTION AFTER CAC</t>
        </is>
      </c>
      <c r="B61" s="42">
        <f>B57-B60</f>
        <v>-23.8918747</v>
      </c>
      <c r="H61" s="42">
        <f>H57-H60</f>
        <v>-106.00751790800001</v>
      </c>
      <c r="N61" s="42">
        <f>N57-N60</f>
        <v>-23.8918747</v>
      </c>
      <c r="T61" s="42">
        <f>T57-T60</f>
        <v>29.41092475555555</v>
      </c>
    </row>
    <row r="62">
      <c r="A62" s="3" t="inlineStr">
        <is>
          <t>First-order contribution margin before ads</t>
        </is>
      </c>
      <c r="B62" s="34">
        <f>IFERROR(B57/B58,0)</f>
        <v>0.2501396501065022</v>
      </c>
      <c r="H62" s="34">
        <f>IFERROR(H57/H58,0)</f>
        <v>-0.6117144674799608</v>
      </c>
      <c r="N62" s="34">
        <f>IFERROR(N57/N58,0)</f>
        <v>0.2501396501065022</v>
      </c>
      <c r="T62" s="34">
        <f>IFERROR(T57/T58,0)</f>
        <v>0.5613348095477309</v>
      </c>
    </row>
    <row r="63">
      <c r="A63" s="3" t="inlineStr">
        <is>
          <t>First-order contribution - subscribers</t>
        </is>
      </c>
      <c r="B63" s="26">
        <f>IF(Inputs!$D$4=1,B50+E50,D50)</f>
        <v>24.944542499999997</v>
      </c>
      <c r="H63" s="26">
        <f>IF(Inputs!$D$4=1,H50+K50,J50)</f>
        <v>-41.9731031</v>
      </c>
      <c r="N63" s="26">
        <f>IF(Inputs!$D$4=1,N50+Q50,P50)</f>
        <v>24.944542499999997</v>
      </c>
      <c r="T63" s="26">
        <f>IF(Inputs!$D$4=1,T50+W50,V50)</f>
        <v>73.72751838055555</v>
      </c>
    </row>
    <row r="64">
      <c r="A64" s="2" t="inlineStr">
        <is>
          <t>Notes: first-order mix = (b) for non-subscribers and (c) for subscribers (subscription attach on Inputs), or (a) + (d) at test stage. Kit and beans ship as two parcels from two origins.</t>
        </is>
      </c>
      <c r="B64" s="26">
        <f>IF(Inputs!$D$4=1,B50,C50)</f>
        <v>20.431110500000003</v>
      </c>
      <c r="H64" s="26">
        <f>IF(Inputs!$D$4=1,H50,I50)</f>
        <v>-42.01051050000001</v>
      </c>
      <c r="N64" s="26">
        <f>IF(Inputs!$D$4=1,N50,O50)</f>
        <v>20.431110500000003</v>
      </c>
      <c r="T64" s="26">
        <f>IF(Inputs!$D$4=1,T50,U50)</f>
        <v>54.63872688055555</v>
      </c>
    </row>
  </sheetData>
  <mergeCells count="4">
    <mergeCell ref="H5:L5"/>
    <mergeCell ref="T5:X5"/>
    <mergeCell ref="N5:R5"/>
    <mergeCell ref="B5:F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5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5" t="inlineStr">
        <is>
          <t>Espresso_Cohort: 24-month cohort of 100 acquired customers (SHADOW CASE)</t>
        </is>
      </c>
    </row>
    <row r="2">
      <c r="A2" s="2" t="inlineStr">
        <is>
          <t>LTV = contribution profit. Segments: one-time only, occasional bean buyers, monthly bean subscribers (Roastify/Dripshipper dropship).</t>
        </is>
      </c>
    </row>
    <row r="4">
      <c r="A4" s="43" t="str">
        <f>"SELECTED SCENARIO COHORT: "&amp;Inputs!$E$3&amp;" | stage: "&amp;Inputs!$E$4</f>
        <v>SELECTED SCENARIO COHORT: Base | stage: Private label (OEM + 3PL, CPA months 4-12)</v>
      </c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</row>
    <row r="6">
      <c r="A6" s="3" t="inlineStr">
        <is>
          <t>Customers acquired (N)</t>
        </is>
      </c>
      <c r="B6" s="12">
        <f>Inputs!$G$9</f>
        <v>100.0</v>
      </c>
    </row>
    <row r="7">
      <c r="A7" s="3" t="inlineStr">
        <is>
          <t>Subscription attach (after any shock)</t>
        </is>
      </c>
      <c r="B7" s="34">
        <f>MIN(1,Inputs!$G$144*Espresso_UnitEcon!$B$10)</f>
        <v>0.15</v>
      </c>
    </row>
    <row r="8">
      <c r="A8" s="3" t="inlineStr">
        <is>
          <t>Non-subscriber 12-month repeat rate</t>
        </is>
      </c>
      <c r="B8" s="45">
        <f>Inputs!$G$147</f>
        <v>0.15</v>
      </c>
    </row>
    <row r="9">
      <c r="A9" s="3" t="inlineStr">
        <is>
          <t>Segment: subscribers</t>
        </is>
      </c>
      <c r="B9" s="46">
        <f>$B$6*$B$7</f>
        <v>15.0</v>
      </c>
    </row>
    <row r="10">
      <c r="A10" s="3" t="inlineStr">
        <is>
          <t>Segment: occasional repeat buyers</t>
        </is>
      </c>
      <c r="B10" s="46">
        <f>$B$6*(1-$B$7)*$B$8</f>
        <v>12.75</v>
      </c>
    </row>
    <row r="11">
      <c r="A11" s="3" t="inlineStr">
        <is>
          <t>Segment: one-time only</t>
        </is>
      </c>
      <c r="B11" s="46">
        <f>$B$6-$B$9-$B$10</f>
        <v>72.25</v>
      </c>
    </row>
    <row r="12">
      <c r="A12" s="3" t="inlineStr">
        <is>
          <t>First-order contribution before ads, per customer (mix)</t>
        </is>
      </c>
      <c r="B12" s="39">
        <f>Espresso_UnitEcon!$B$57</f>
        <v>21.1081253</v>
      </c>
    </row>
    <row r="13">
      <c r="A13" s="3" t="inlineStr">
        <is>
          <t>Paid CAC per new customer</t>
        </is>
      </c>
      <c r="B13" s="39">
        <f>Espresso_UnitEcon!$B$60</f>
        <v>45.0</v>
      </c>
    </row>
    <row r="14">
      <c r="A14" s="3" t="inlineStr">
        <is>
          <t>Contribution per subscription renewal order</t>
        </is>
      </c>
      <c r="B14" s="39">
        <f>Espresso_UnitEcon!$E$50</f>
        <v>4.384378000000002</v>
      </c>
    </row>
    <row r="15">
      <c r="A15" s="3" t="inlineStr">
        <is>
          <t>Contribution per occasional repeat order</t>
        </is>
      </c>
      <c r="B15" s="39">
        <f>Espresso_UnitEcon!$F$50</f>
        <v>8.215419999999998</v>
      </c>
    </row>
    <row r="16">
      <c r="A16" s="3" t="inlineStr">
        <is>
          <t>First-month drop (incl. involuntary)</t>
        </is>
      </c>
      <c r="B16" s="34">
        <f>1-(1-MIN(1,Inputs!$G$145*Espresso_UnitEcon!$B$11))*(1-MIN(1,Inputs!$G$137*Espresso_UnitEcon!$B$11))</f>
        <v>0.1857399999999999</v>
      </c>
    </row>
    <row r="17">
      <c r="A17" s="3" t="inlineStr">
        <is>
          <t>Monthly churn after month 2 (incl. involuntary)</t>
        </is>
      </c>
      <c r="B17" s="34">
        <f>1-(1-MIN(1,Inputs!$G$146*Espresso_UnitEcon!$B$11))*(1-MIN(1,Inputs!$G$137*Espresso_UnitEcon!$B$11))</f>
        <v>0.07651000000000008</v>
      </c>
    </row>
    <row r="18">
      <c r="A18" s="3" t="inlineStr">
        <is>
          <t>Renewal cadence (months)</t>
        </is>
      </c>
      <c r="B18" s="41" t="n">
        <v>1</v>
      </c>
    </row>
    <row r="19">
      <c r="A19" s="3" t="inlineStr">
        <is>
          <t>Occasional: month of first repeat</t>
        </is>
      </c>
      <c r="B19" s="12">
        <f>Inputs!$G$148</f>
        <v>2.0</v>
      </c>
    </row>
    <row r="20">
      <c r="A20" s="3" t="inlineStr">
        <is>
          <t>Occasional: months between orders</t>
        </is>
      </c>
      <c r="B20" s="12">
        <f>Inputs!$G$149</f>
        <v>3.0</v>
      </c>
    </row>
    <row r="21">
      <c r="A21" s="3" t="inlineStr">
        <is>
          <t>Occasional: probability of each further order</t>
        </is>
      </c>
      <c r="B21" s="45">
        <f>Inputs!$G$150</f>
        <v>0.5</v>
      </c>
    </row>
    <row r="22">
      <c r="A22" s="3" t="inlineStr">
        <is>
          <t>First-order contribution - subscriber</t>
        </is>
      </c>
      <c r="B22" s="39">
        <f>Espresso_UnitEcon!$B$63</f>
        <v>24.944542499999997</v>
      </c>
    </row>
    <row r="23">
      <c r="A23" s="3" t="inlineStr">
        <is>
          <t>First-order contribution - non-subscriber</t>
        </is>
      </c>
      <c r="B23" s="39">
        <f>Espresso_UnitEcon!$B$64</f>
        <v>20.431110500000003</v>
      </c>
    </row>
    <row r="24">
      <c r="A24" s="3" t="inlineStr">
        <is>
          <t>First-order gross revenue (mix) - reference</t>
        </is>
      </c>
      <c r="B24" s="39">
        <f>Espresso_UnitEcon!$B$59</f>
        <v>90.38864999999998</v>
      </c>
    </row>
    <row r="25">
      <c r="A25" s="3" t="inlineStr">
        <is>
          <t>Renewal order gross revenue - reference</t>
        </is>
      </c>
      <c r="B25" s="39">
        <f>Espresso_UnitEcon!$E$35</f>
        <v>35.991</v>
      </c>
    </row>
    <row r="26">
      <c r="A26" s="3" t="inlineStr">
        <is>
          <t>Occasional order gross revenue - reference</t>
        </is>
      </c>
      <c r="B26" s="39">
        <f>Espresso_UnitEcon!$F$35</f>
        <v>39.99</v>
      </c>
    </row>
    <row r="28">
      <c r="A28" s="4" t="inlineStr">
        <is>
          <t>Month</t>
        </is>
      </c>
      <c r="B28" s="4" t="inlineStr">
        <is>
          <t>Total 1-24</t>
        </is>
      </c>
      <c r="C28" s="47" t="n">
        <v>1</v>
      </c>
      <c r="D28" s="47" t="n">
        <v>2</v>
      </c>
      <c r="E28" s="47" t="n">
        <v>3</v>
      </c>
      <c r="F28" s="47" t="n">
        <v>4</v>
      </c>
      <c r="G28" s="47" t="n">
        <v>5</v>
      </c>
      <c r="H28" s="47" t="n">
        <v>6</v>
      </c>
      <c r="I28" s="47" t="n">
        <v>7</v>
      </c>
      <c r="J28" s="47" t="n">
        <v>8</v>
      </c>
      <c r="K28" s="47" t="n">
        <v>9</v>
      </c>
      <c r="L28" s="47" t="n">
        <v>10</v>
      </c>
      <c r="M28" s="47" t="n">
        <v>11</v>
      </c>
      <c r="N28" s="47" t="n">
        <v>12</v>
      </c>
      <c r="O28" s="47" t="n">
        <v>13</v>
      </c>
      <c r="P28" s="47" t="n">
        <v>14</v>
      </c>
      <c r="Q28" s="47" t="n">
        <v>15</v>
      </c>
      <c r="R28" s="47" t="n">
        <v>16</v>
      </c>
      <c r="S28" s="47" t="n">
        <v>17</v>
      </c>
      <c r="T28" s="47" t="n">
        <v>18</v>
      </c>
      <c r="U28" s="47" t="n">
        <v>19</v>
      </c>
      <c r="V28" s="47" t="n">
        <v>20</v>
      </c>
      <c r="W28" s="47" t="n">
        <v>21</v>
      </c>
      <c r="X28" s="47" t="n">
        <v>22</v>
      </c>
      <c r="Y28" s="47" t="n">
        <v>23</v>
      </c>
      <c r="Z28" s="47" t="n">
        <v>24</v>
      </c>
    </row>
    <row r="29">
      <c r="A29" s="3" t="inlineStr">
        <is>
          <t>Subscription renewal orders (paying subscribers)</t>
        </is>
      </c>
      <c r="B29" s="48">
        <f>SUM(C29:Z29)</f>
        <v>134.0475784632772</v>
      </c>
      <c r="C29" s="46">
        <f>IF(C$28&gt;=2,$B$9*(1-$B$16)*(1-$B$17)^(C$28-2),0)</f>
        <v>0.0</v>
      </c>
      <c r="D29" s="46">
        <f>IF(D$28&gt;=2,$B$9*(1-$B$16)*(1-$B$17)^(D$28-2),0)</f>
        <v>12.2139</v>
      </c>
      <c r="E29" s="46">
        <f>IF(E$28&gt;=2,$B$9*(1-$B$16)*(1-$B$17)^(E$28-2),0)</f>
        <v>11.279414510999999</v>
      </c>
      <c r="F29" s="46">
        <f>IF(F$28&gt;=2,$B$9*(1-$B$16)*(1-$B$17)^(F$28-2),0)</f>
        <v>10.41642650676339</v>
      </c>
      <c r="G29" s="46">
        <f>IF(G$28&gt;=2,$B$9*(1-$B$16)*(1-$B$17)^(G$28-2),0)</f>
        <v>9.619465714730921</v>
      </c>
      <c r="H29" s="46">
        <f>IF(H$28&gt;=2,$B$9*(1-$B$16)*(1-$B$17)^(H$28-2),0)</f>
        <v>8.883480392896859</v>
      </c>
      <c r="I29" s="46">
        <f>IF(I$28&gt;=2,$B$9*(1-$B$16)*(1-$B$17)^(I$28-2),0)</f>
        <v>8.203805308036317</v>
      </c>
      <c r="J29" s="46">
        <f>IF(J$28&gt;=2,$B$9*(1-$B$16)*(1-$B$17)^(J$28-2),0)</f>
        <v>7.57613216391846</v>
      </c>
      <c r="K29" s="46">
        <f>IF(K$28&gt;=2,$B$9*(1-$B$16)*(1-$B$17)^(K$28-2),0)</f>
        <v>6.996482292057057</v>
      </c>
      <c r="L29" s="46">
        <f>IF(L$28&gt;=2,$B$9*(1-$B$16)*(1-$B$17)^(L$28-2),0)</f>
        <v>6.461181431891772</v>
      </c>
      <c r="M29" s="46">
        <f>IF(M$28&gt;=2,$B$9*(1-$B$16)*(1-$B$17)^(M$28-2),0)</f>
        <v>5.966836440537731</v>
      </c>
      <c r="N29" s="46">
        <f>IF(N$28&gt;=2,$B$9*(1-$B$16)*(1-$B$17)^(N$28-2),0)</f>
        <v>5.510313784472189</v>
      </c>
      <c r="O29" s="46">
        <f>IF(O$28&gt;=2,$B$9*(1-$B$16)*(1-$B$17)^(O$28-2),0)</f>
        <v>5.088719676822222</v>
      </c>
      <c r="P29" s="46">
        <f>IF(P$28&gt;=2,$B$9*(1-$B$16)*(1-$B$17)^(P$28-2),0)</f>
        <v>4.699381734348552</v>
      </c>
      <c r="Q29" s="46">
        <f>IF(Q$28&gt;=2,$B$9*(1-$B$16)*(1-$B$17)^(Q$28-2),0)</f>
        <v>4.339832037853545</v>
      </c>
      <c r="R29" s="46">
        <f>IF(R$28&gt;=2,$B$9*(1-$B$16)*(1-$B$17)^(R$28-2),0)</f>
        <v>4.00779148863737</v>
      </c>
      <c r="S29" s="46">
        <f>IF(S$28&gt;=2,$B$9*(1-$B$16)*(1-$B$17)^(S$28-2),0)</f>
        <v>3.7011553618417246</v>
      </c>
      <c r="T29" s="46">
        <f>IF(T$28&gt;=2,$B$9*(1-$B$16)*(1-$B$17)^(T$28-2),0)</f>
        <v>3.417979965107213</v>
      </c>
      <c r="U29" s="46">
        <f>IF(U$28&gt;=2,$B$9*(1-$B$16)*(1-$B$17)^(U$28-2),0)</f>
        <v>3.1564703179768605</v>
      </c>
      <c r="V29" s="46">
        <f>IF(V$28&gt;=2,$B$9*(1-$B$16)*(1-$B$17)^(V$28-2),0)</f>
        <v>2.9149687739484507</v>
      </c>
      <c r="W29" s="46">
        <f>IF(W$28&gt;=2,$B$9*(1-$B$16)*(1-$B$17)^(W$28-2),0)</f>
        <v>2.691944513053654</v>
      </c>
      <c r="X29" s="46">
        <f>IF(X$28&gt;=2,$B$9*(1-$B$16)*(1-$B$17)^(X$28-2),0)</f>
        <v>2.485983838359919</v>
      </c>
      <c r="Y29" s="46">
        <f>IF(Y$28&gt;=2,$B$9*(1-$B$16)*(1-$B$17)^(Y$28-2),0)</f>
        <v>2.2957812148870014</v>
      </c>
      <c r="Z29" s="46">
        <f>IF(Z$28&gt;=2,$B$9*(1-$B$16)*(1-$B$17)^(Z$28-2),0)</f>
        <v>2.1201309941359967</v>
      </c>
    </row>
    <row r="30">
      <c r="A30" s="3" t="inlineStr">
        <is>
          <t>Occasional repeat orders</t>
        </is>
      </c>
      <c r="B30" s="48">
        <f>SUM(C30:Z30)</f>
        <v>25.400390625</v>
      </c>
      <c r="C30" s="46">
        <f>IF(AND(C$28&gt;=$B$19,MOD(C$28-$B$19,$B$20)=0),$B$10*$B$21^((C$28-$B$19)/$B$20),0)</f>
        <v>0.0</v>
      </c>
      <c r="D30" s="46">
        <f>IF(AND(D$28&gt;=$B$19,MOD(D$28-$B$19,$B$20)=0),$B$10*$B$21^((D$28-$B$19)/$B$20),0)</f>
        <v>12.75</v>
      </c>
      <c r="E30" s="46">
        <f>IF(AND(E$28&gt;=$B$19,MOD(E$28-$B$19,$B$20)=0),$B$10*$B$21^((E$28-$B$19)/$B$20),0)</f>
        <v>0.0</v>
      </c>
      <c r="F30" s="46">
        <f>IF(AND(F$28&gt;=$B$19,MOD(F$28-$B$19,$B$20)=0),$B$10*$B$21^((F$28-$B$19)/$B$20),0)</f>
        <v>0.0</v>
      </c>
      <c r="G30" s="46">
        <f>IF(AND(G$28&gt;=$B$19,MOD(G$28-$B$19,$B$20)=0),$B$10*$B$21^((G$28-$B$19)/$B$20),0)</f>
        <v>6.375</v>
      </c>
      <c r="H30" s="46">
        <f>IF(AND(H$28&gt;=$B$19,MOD(H$28-$B$19,$B$20)=0),$B$10*$B$21^((H$28-$B$19)/$B$20),0)</f>
        <v>0.0</v>
      </c>
      <c r="I30" s="46">
        <f>IF(AND(I$28&gt;=$B$19,MOD(I$28-$B$19,$B$20)=0),$B$10*$B$21^((I$28-$B$19)/$B$20),0)</f>
        <v>0.0</v>
      </c>
      <c r="J30" s="46">
        <f>IF(AND(J$28&gt;=$B$19,MOD(J$28-$B$19,$B$20)=0),$B$10*$B$21^((J$28-$B$19)/$B$20),0)</f>
        <v>3.1875</v>
      </c>
      <c r="K30" s="46">
        <f>IF(AND(K$28&gt;=$B$19,MOD(K$28-$B$19,$B$20)=0),$B$10*$B$21^((K$28-$B$19)/$B$20),0)</f>
        <v>0.0</v>
      </c>
      <c r="L30" s="46">
        <f>IF(AND(L$28&gt;=$B$19,MOD(L$28-$B$19,$B$20)=0),$B$10*$B$21^((L$28-$B$19)/$B$20),0)</f>
        <v>0.0</v>
      </c>
      <c r="M30" s="46">
        <f>IF(AND(M$28&gt;=$B$19,MOD(M$28-$B$19,$B$20)=0),$B$10*$B$21^((M$28-$B$19)/$B$20),0)</f>
        <v>1.59375</v>
      </c>
      <c r="N30" s="46">
        <f>IF(AND(N$28&gt;=$B$19,MOD(N$28-$B$19,$B$20)=0),$B$10*$B$21^((N$28-$B$19)/$B$20),0)</f>
        <v>0.0</v>
      </c>
      <c r="O30" s="46">
        <f>IF(AND(O$28&gt;=$B$19,MOD(O$28-$B$19,$B$20)=0),$B$10*$B$21^((O$28-$B$19)/$B$20),0)</f>
        <v>0.0</v>
      </c>
      <c r="P30" s="46">
        <f>IF(AND(P$28&gt;=$B$19,MOD(P$28-$B$19,$B$20)=0),$B$10*$B$21^((P$28-$B$19)/$B$20),0)</f>
        <v>0.796875</v>
      </c>
      <c r="Q30" s="46">
        <f>IF(AND(Q$28&gt;=$B$19,MOD(Q$28-$B$19,$B$20)=0),$B$10*$B$21^((Q$28-$B$19)/$B$20),0)</f>
        <v>0.0</v>
      </c>
      <c r="R30" s="46">
        <f>IF(AND(R$28&gt;=$B$19,MOD(R$28-$B$19,$B$20)=0),$B$10*$B$21^((R$28-$B$19)/$B$20),0)</f>
        <v>0.0</v>
      </c>
      <c r="S30" s="46">
        <f>IF(AND(S$28&gt;=$B$19,MOD(S$28-$B$19,$B$20)=0),$B$10*$B$21^((S$28-$B$19)/$B$20),0)</f>
        <v>0.3984375</v>
      </c>
      <c r="T30" s="46">
        <f>IF(AND(T$28&gt;=$B$19,MOD(T$28-$B$19,$B$20)=0),$B$10*$B$21^((T$28-$B$19)/$B$20),0)</f>
        <v>0.0</v>
      </c>
      <c r="U30" s="46">
        <f>IF(AND(U$28&gt;=$B$19,MOD(U$28-$B$19,$B$20)=0),$B$10*$B$21^((U$28-$B$19)/$B$20),0)</f>
        <v>0.0</v>
      </c>
      <c r="V30" s="46">
        <f>IF(AND(V$28&gt;=$B$19,MOD(V$28-$B$19,$B$20)=0),$B$10*$B$21^((V$28-$B$19)/$B$20),0)</f>
        <v>0.19921875</v>
      </c>
      <c r="W30" s="46">
        <f>IF(AND(W$28&gt;=$B$19,MOD(W$28-$B$19,$B$20)=0),$B$10*$B$21^((W$28-$B$19)/$B$20),0)</f>
        <v>0.0</v>
      </c>
      <c r="X30" s="46">
        <f>IF(AND(X$28&gt;=$B$19,MOD(X$28-$B$19,$B$20)=0),$B$10*$B$21^((X$28-$B$19)/$B$20),0)</f>
        <v>0.0</v>
      </c>
      <c r="Y30" s="46">
        <f>IF(AND(Y$28&gt;=$B$19,MOD(Y$28-$B$19,$B$20)=0),$B$10*$B$21^((Y$28-$B$19)/$B$20),0)</f>
        <v>0.099609375</v>
      </c>
      <c r="Z30" s="46">
        <f>IF(AND(Z$28&gt;=$B$19,MOD(Z$28-$B$19,$B$20)=0),$B$10*$B$21^((Z$28-$B$19)/$B$20),0)</f>
        <v>0.0</v>
      </c>
    </row>
    <row r="31">
      <c r="A31" s="3" t="inlineStr">
        <is>
          <t>Contribution - one-time-only segment</t>
        </is>
      </c>
      <c r="B31" s="30">
        <f>SUM(C31:Z31)</f>
        <v>1476.1477336250002</v>
      </c>
      <c r="C31" s="33">
        <f>IF(C$28=1,$B$11*$B$23,0)</f>
        <v>1476.1477336250002</v>
      </c>
      <c r="D31" s="33">
        <f>IF(D$28=1,$B$11*$B$23,0)</f>
        <v>0.0</v>
      </c>
      <c r="E31" s="33">
        <f>IF(E$28=1,$B$11*$B$23,0)</f>
        <v>0.0</v>
      </c>
      <c r="F31" s="33">
        <f>IF(F$28=1,$B$11*$B$23,0)</f>
        <v>0.0</v>
      </c>
      <c r="G31" s="33">
        <f>IF(G$28=1,$B$11*$B$23,0)</f>
        <v>0.0</v>
      </c>
      <c r="H31" s="33">
        <f>IF(H$28=1,$B$11*$B$23,0)</f>
        <v>0.0</v>
      </c>
      <c r="I31" s="33">
        <f>IF(I$28=1,$B$11*$B$23,0)</f>
        <v>0.0</v>
      </c>
      <c r="J31" s="33">
        <f>IF(J$28=1,$B$11*$B$23,0)</f>
        <v>0.0</v>
      </c>
      <c r="K31" s="33">
        <f>IF(K$28=1,$B$11*$B$23,0)</f>
        <v>0.0</v>
      </c>
      <c r="L31" s="33">
        <f>IF(L$28=1,$B$11*$B$23,0)</f>
        <v>0.0</v>
      </c>
      <c r="M31" s="33">
        <f>IF(M$28=1,$B$11*$B$23,0)</f>
        <v>0.0</v>
      </c>
      <c r="N31" s="33">
        <f>IF(N$28=1,$B$11*$B$23,0)</f>
        <v>0.0</v>
      </c>
      <c r="O31" s="33">
        <f>IF(O$28=1,$B$11*$B$23,0)</f>
        <v>0.0</v>
      </c>
      <c r="P31" s="33">
        <f>IF(P$28=1,$B$11*$B$23,0)</f>
        <v>0.0</v>
      </c>
      <c r="Q31" s="33">
        <f>IF(Q$28=1,$B$11*$B$23,0)</f>
        <v>0.0</v>
      </c>
      <c r="R31" s="33">
        <f>IF(R$28=1,$B$11*$B$23,0)</f>
        <v>0.0</v>
      </c>
      <c r="S31" s="33">
        <f>IF(S$28=1,$B$11*$B$23,0)</f>
        <v>0.0</v>
      </c>
      <c r="T31" s="33">
        <f>IF(T$28=1,$B$11*$B$23,0)</f>
        <v>0.0</v>
      </c>
      <c r="U31" s="33">
        <f>IF(U$28=1,$B$11*$B$23,0)</f>
        <v>0.0</v>
      </c>
      <c r="V31" s="33">
        <f>IF(V$28=1,$B$11*$B$23,0)</f>
        <v>0.0</v>
      </c>
      <c r="W31" s="33">
        <f>IF(W$28=1,$B$11*$B$23,0)</f>
        <v>0.0</v>
      </c>
      <c r="X31" s="33">
        <f>IF(X$28=1,$B$11*$B$23,0)</f>
        <v>0.0</v>
      </c>
      <c r="Y31" s="33">
        <f>IF(Y$28=1,$B$11*$B$23,0)</f>
        <v>0.0</v>
      </c>
      <c r="Z31" s="33">
        <f>IF(Z$28=1,$B$11*$B$23,0)</f>
        <v>0.0</v>
      </c>
    </row>
    <row r="32">
      <c r="A32" s="3" t="inlineStr">
        <is>
          <t>Contribution - occasional repeat segment</t>
        </is>
      </c>
      <c r="B32" s="30">
        <f>SUM(C32:Z32)</f>
        <v>469.1715360234375</v>
      </c>
      <c r="C32" s="33">
        <f>IF(C$28=1,$B$10*$B$23,0)+C30*$B$15</f>
        <v>260.49665887500004</v>
      </c>
      <c r="D32" s="33">
        <f>IF(D$28=1,$B$10*$B$23,0)+D30*$B$15</f>
        <v>104.74660499999997</v>
      </c>
      <c r="E32" s="33">
        <f>IF(E$28=1,$B$10*$B$23,0)+E30*$B$15</f>
        <v>0.0</v>
      </c>
      <c r="F32" s="33">
        <f>IF(F$28=1,$B$10*$B$23,0)+F30*$B$15</f>
        <v>0.0</v>
      </c>
      <c r="G32" s="33">
        <f>IF(G$28=1,$B$10*$B$23,0)+G30*$B$15</f>
        <v>52.37330249999999</v>
      </c>
      <c r="H32" s="33">
        <f>IF(H$28=1,$B$10*$B$23,0)+H30*$B$15</f>
        <v>0.0</v>
      </c>
      <c r="I32" s="33">
        <f>IF(I$28=1,$B$10*$B$23,0)+I30*$B$15</f>
        <v>0.0</v>
      </c>
      <c r="J32" s="33">
        <f>IF(J$28=1,$B$10*$B$23,0)+J30*$B$15</f>
        <v>26.186651249999993</v>
      </c>
      <c r="K32" s="33">
        <f>IF(K$28=1,$B$10*$B$23,0)+K30*$B$15</f>
        <v>0.0</v>
      </c>
      <c r="L32" s="33">
        <f>IF(L$28=1,$B$10*$B$23,0)+L30*$B$15</f>
        <v>0.0</v>
      </c>
      <c r="M32" s="33">
        <f>IF(M$28=1,$B$10*$B$23,0)+M30*$B$15</f>
        <v>13.093325624999997</v>
      </c>
      <c r="N32" s="33">
        <f>IF(N$28=1,$B$10*$B$23,0)+N30*$B$15</f>
        <v>0.0</v>
      </c>
      <c r="O32" s="33">
        <f>IF(O$28=1,$B$10*$B$23,0)+O30*$B$15</f>
        <v>0.0</v>
      </c>
      <c r="P32" s="33">
        <f>IF(P$28=1,$B$10*$B$23,0)+P30*$B$15</f>
        <v>6.546662812499998</v>
      </c>
      <c r="Q32" s="33">
        <f>IF(Q$28=1,$B$10*$B$23,0)+Q30*$B$15</f>
        <v>0.0</v>
      </c>
      <c r="R32" s="33">
        <f>IF(R$28=1,$B$10*$B$23,0)+R30*$B$15</f>
        <v>0.0</v>
      </c>
      <c r="S32" s="33">
        <f>IF(S$28=1,$B$10*$B$23,0)+S30*$B$15</f>
        <v>3.273331406249999</v>
      </c>
      <c r="T32" s="33">
        <f>IF(T$28=1,$B$10*$B$23,0)+T30*$B$15</f>
        <v>0.0</v>
      </c>
      <c r="U32" s="33">
        <f>IF(U$28=1,$B$10*$B$23,0)+U30*$B$15</f>
        <v>0.0</v>
      </c>
      <c r="V32" s="33">
        <f>IF(V$28=1,$B$10*$B$23,0)+V30*$B$15</f>
        <v>1.6366657031249996</v>
      </c>
      <c r="W32" s="33">
        <f>IF(W$28=1,$B$10*$B$23,0)+W30*$B$15</f>
        <v>0.0</v>
      </c>
      <c r="X32" s="33">
        <f>IF(X$28=1,$B$10*$B$23,0)+X30*$B$15</f>
        <v>0.0</v>
      </c>
      <c r="Y32" s="33">
        <f>IF(Y$28=1,$B$10*$B$23,0)+Y30*$B$15</f>
        <v>0.8183328515624998</v>
      </c>
      <c r="Z32" s="33">
        <f>IF(Z$28=1,$B$10*$B$23,0)+Z30*$B$15</f>
        <v>0.0</v>
      </c>
    </row>
    <row r="33">
      <c r="A33" s="3" t="inlineStr">
        <is>
          <t>Contribution - subscriber segment</t>
        </is>
      </c>
      <c r="B33" s="30">
        <f>SUM(C33:Z33)</f>
        <v>961.8833914676666</v>
      </c>
      <c r="C33" s="33">
        <f>IF(C$28=1,$B$9*$B$22,0)+C29*$B$14</f>
        <v>374.16813749999994</v>
      </c>
      <c r="D33" s="33">
        <f>IF(D$28=1,$B$9*$B$22,0)+D29*$B$14</f>
        <v>53.550354454200026</v>
      </c>
      <c r="E33" s="33">
        <f>IF(E$28=1,$B$9*$B$22,0)+E29*$B$14</f>
        <v>49.45321683490917</v>
      </c>
      <c r="F33" s="33">
        <f>IF(F$28=1,$B$9*$B$22,0)+F29*$B$14</f>
        <v>45.669551214870275</v>
      </c>
      <c r="G33" s="33">
        <f>IF(G$28=1,$B$9*$B$22,0)+G29*$B$14</f>
        <v>42.175373851420545</v>
      </c>
      <c r="H33" s="33">
        <f>IF(H$28=1,$B$9*$B$22,0)+H29*$B$14</f>
        <v>38.94853599804836</v>
      </c>
      <c r="I33" s="33">
        <f>IF(I$28=1,$B$9*$B$22,0)+I29*$B$14</f>
        <v>35.96858350883767</v>
      </c>
      <c r="J33" s="33">
        <f>IF(J$28=1,$B$9*$B$22,0)+J29*$B$14</f>
        <v>33.2166271845765</v>
      </c>
      <c r="K33" s="33">
        <f>IF(K$28=1,$B$9*$B$22,0)+K29*$B$14</f>
        <v>30.675223038684546</v>
      </c>
      <c r="L33" s="33">
        <f>IF(L$28=1,$B$9*$B$22,0)+L29*$B$14</f>
        <v>28.328261723994792</v>
      </c>
      <c r="M33" s="33">
        <f>IF(M$28=1,$B$9*$B$22,0)+M29*$B$14</f>
        <v>26.16086641949195</v>
      </c>
      <c r="N33" s="33">
        <f>IF(N$28=1,$B$9*$B$22,0)+N29*$B$14</f>
        <v>24.159298529736613</v>
      </c>
      <c r="O33" s="33">
        <f>IF(O$28=1,$B$9*$B$22,0)+O29*$B$14</f>
        <v>22.310870599226465</v>
      </c>
      <c r="P33" s="33">
        <f>IF(P$28=1,$B$9*$B$22,0)+P29*$B$14</f>
        <v>20.603865889679646</v>
      </c>
      <c r="Q33" s="33">
        <f>IF(Q$28=1,$B$9*$B$22,0)+Q29*$B$14</f>
        <v>19.027464110460254</v>
      </c>
      <c r="R33" s="33">
        <f>IF(R$28=1,$B$9*$B$22,0)+R29*$B$14</f>
        <v>17.57167283136894</v>
      </c>
      <c r="S33" s="33">
        <f>IF(S$28=1,$B$9*$B$22,0)+S29*$B$14</f>
        <v>16.2272641430409</v>
      </c>
      <c r="T33" s="33">
        <f>IF(T$28=1,$B$9*$B$22,0)+T29*$B$14</f>
        <v>14.98571616345684</v>
      </c>
      <c r="U33" s="33">
        <f>IF(U$28=1,$B$9*$B$22,0)+U29*$B$14</f>
        <v>13.839159019790756</v>
      </c>
      <c r="V33" s="33">
        <f>IF(V$28=1,$B$9*$B$22,0)+V29*$B$14</f>
        <v>12.780324963186565</v>
      </c>
      <c r="W33" s="33">
        <f>IF(W$28=1,$B$9*$B$22,0)+W29*$B$14</f>
        <v>11.802502300253158</v>
      </c>
      <c r="X33" s="33">
        <f>IF(X$28=1,$B$9*$B$22,0)+X29*$B$14</f>
        <v>10.899492849260788</v>
      </c>
      <c r="Y33" s="33">
        <f>IF(Y$28=1,$B$9*$B$22,0)+Y29*$B$14</f>
        <v>10.065572651363846</v>
      </c>
      <c r="Z33" s="33">
        <f>IF(Z$28=1,$B$9*$B$22,0)+Z29*$B$14</f>
        <v>9.295455687807996</v>
      </c>
    </row>
    <row r="34">
      <c r="A34" s="16" t="inlineStr">
        <is>
          <t>Total contribution before CAC</t>
        </is>
      </c>
      <c r="B34" s="30">
        <f>SUM(C34:Z34)</f>
        <v>2907.202661116104</v>
      </c>
      <c r="C34" s="30">
        <f>SUM(C31:C33)</f>
        <v>2110.81253</v>
      </c>
      <c r="D34" s="30">
        <f>SUM(D31:D33)</f>
        <v>158.2969594542</v>
      </c>
      <c r="E34" s="30">
        <f>SUM(E31:E33)</f>
        <v>49.45321683490917</v>
      </c>
      <c r="F34" s="30">
        <f>SUM(F31:F33)</f>
        <v>45.669551214870275</v>
      </c>
      <c r="G34" s="30">
        <f>SUM(G31:G33)</f>
        <v>94.54867635142054</v>
      </c>
      <c r="H34" s="30">
        <f>SUM(H31:H33)</f>
        <v>38.94853599804836</v>
      </c>
      <c r="I34" s="30">
        <f>SUM(I31:I33)</f>
        <v>35.96858350883767</v>
      </c>
      <c r="J34" s="30">
        <f>SUM(J31:J33)</f>
        <v>59.40327843457649</v>
      </c>
      <c r="K34" s="30">
        <f>SUM(K31:K33)</f>
        <v>30.675223038684546</v>
      </c>
      <c r="L34" s="30">
        <f>SUM(L31:L33)</f>
        <v>28.328261723994792</v>
      </c>
      <c r="M34" s="30">
        <f>SUM(M31:M33)</f>
        <v>39.254192044491944</v>
      </c>
      <c r="N34" s="30">
        <f>SUM(N31:N33)</f>
        <v>24.159298529736613</v>
      </c>
      <c r="O34" s="30">
        <f>SUM(O31:O33)</f>
        <v>22.310870599226465</v>
      </c>
      <c r="P34" s="30">
        <f>SUM(P31:P33)</f>
        <v>27.150528702179646</v>
      </c>
      <c r="Q34" s="30">
        <f>SUM(Q31:Q33)</f>
        <v>19.027464110460254</v>
      </c>
      <c r="R34" s="30">
        <f>SUM(R31:R33)</f>
        <v>17.57167283136894</v>
      </c>
      <c r="S34" s="30">
        <f>SUM(S31:S33)</f>
        <v>19.5005955492909</v>
      </c>
      <c r="T34" s="30">
        <f>SUM(T31:T33)</f>
        <v>14.98571616345684</v>
      </c>
      <c r="U34" s="30">
        <f>SUM(U31:U33)</f>
        <v>13.839159019790756</v>
      </c>
      <c r="V34" s="30">
        <f>SUM(V31:V33)</f>
        <v>14.416990666311564</v>
      </c>
      <c r="W34" s="30">
        <f>SUM(W31:W33)</f>
        <v>11.802502300253158</v>
      </c>
      <c r="X34" s="30">
        <f>SUM(X31:X33)</f>
        <v>10.899492849260788</v>
      </c>
      <c r="Y34" s="30">
        <f>SUM(Y31:Y33)</f>
        <v>10.883905502926346</v>
      </c>
      <c r="Z34" s="30">
        <f>SUM(Z31:Z33)</f>
        <v>9.295455687807996</v>
      </c>
    </row>
    <row r="35">
      <c r="A35" s="3" t="inlineStr">
        <is>
          <t>CAC (paid, month 1)</t>
        </is>
      </c>
      <c r="B35" s="30">
        <f>SUM(C35:Z35)</f>
        <v>-4500.0</v>
      </c>
      <c r="C35" s="33">
        <f>IF(C$28=1,-$B$6*$B$13,0)</f>
        <v>-4500.0</v>
      </c>
      <c r="D35" s="33">
        <f>IF(D$28=1,-$B$6*$B$13,0)</f>
        <v>0.0</v>
      </c>
      <c r="E35" s="33">
        <f>IF(E$28=1,-$B$6*$B$13,0)</f>
        <v>0.0</v>
      </c>
      <c r="F35" s="33">
        <f>IF(F$28=1,-$B$6*$B$13,0)</f>
        <v>0.0</v>
      </c>
      <c r="G35" s="33">
        <f>IF(G$28=1,-$B$6*$B$13,0)</f>
        <v>0.0</v>
      </c>
      <c r="H35" s="33">
        <f>IF(H$28=1,-$B$6*$B$13,0)</f>
        <v>0.0</v>
      </c>
      <c r="I35" s="33">
        <f>IF(I$28=1,-$B$6*$B$13,0)</f>
        <v>0.0</v>
      </c>
      <c r="J35" s="33">
        <f>IF(J$28=1,-$B$6*$B$13,0)</f>
        <v>0.0</v>
      </c>
      <c r="K35" s="33">
        <f>IF(K$28=1,-$B$6*$B$13,0)</f>
        <v>0.0</v>
      </c>
      <c r="L35" s="33">
        <f>IF(L$28=1,-$B$6*$B$13,0)</f>
        <v>0.0</v>
      </c>
      <c r="M35" s="33">
        <f>IF(M$28=1,-$B$6*$B$13,0)</f>
        <v>0.0</v>
      </c>
      <c r="N35" s="33">
        <f>IF(N$28=1,-$B$6*$B$13,0)</f>
        <v>0.0</v>
      </c>
      <c r="O35" s="33">
        <f>IF(O$28=1,-$B$6*$B$13,0)</f>
        <v>0.0</v>
      </c>
      <c r="P35" s="33">
        <f>IF(P$28=1,-$B$6*$B$13,0)</f>
        <v>0.0</v>
      </c>
      <c r="Q35" s="33">
        <f>IF(Q$28=1,-$B$6*$B$13,0)</f>
        <v>0.0</v>
      </c>
      <c r="R35" s="33">
        <f>IF(R$28=1,-$B$6*$B$13,0)</f>
        <v>0.0</v>
      </c>
      <c r="S35" s="33">
        <f>IF(S$28=1,-$B$6*$B$13,0)</f>
        <v>0.0</v>
      </c>
      <c r="T35" s="33">
        <f>IF(T$28=1,-$B$6*$B$13,0)</f>
        <v>0.0</v>
      </c>
      <c r="U35" s="33">
        <f>IF(U$28=1,-$B$6*$B$13,0)</f>
        <v>0.0</v>
      </c>
      <c r="V35" s="33">
        <f>IF(V$28=1,-$B$6*$B$13,0)</f>
        <v>0.0</v>
      </c>
      <c r="W35" s="33">
        <f>IF(W$28=1,-$B$6*$B$13,0)</f>
        <v>0.0</v>
      </c>
      <c r="X35" s="33">
        <f>IF(X$28=1,-$B$6*$B$13,0)</f>
        <v>0.0</v>
      </c>
      <c r="Y35" s="33">
        <f>IF(Y$28=1,-$B$6*$B$13,0)</f>
        <v>0.0</v>
      </c>
      <c r="Z35" s="33">
        <f>IF(Z$28=1,-$B$6*$B$13,0)</f>
        <v>0.0</v>
      </c>
    </row>
    <row r="36">
      <c r="A36" s="3" t="inlineStr">
        <is>
          <t>Net contribution after CAC</t>
        </is>
      </c>
      <c r="B36" s="30">
        <f>SUM(C36:Z36)</f>
        <v>-1592.797338883896</v>
      </c>
      <c r="C36" s="33">
        <f>C34+C35</f>
        <v>-2389.18747</v>
      </c>
      <c r="D36" s="33">
        <f>D34+D35</f>
        <v>158.2969594542</v>
      </c>
      <c r="E36" s="33">
        <f>E34+E35</f>
        <v>49.45321683490917</v>
      </c>
      <c r="F36" s="33">
        <f>F34+F35</f>
        <v>45.669551214870275</v>
      </c>
      <c r="G36" s="33">
        <f>G34+G35</f>
        <v>94.54867635142054</v>
      </c>
      <c r="H36" s="33">
        <f>H34+H35</f>
        <v>38.94853599804836</v>
      </c>
      <c r="I36" s="33">
        <f>I34+I35</f>
        <v>35.96858350883767</v>
      </c>
      <c r="J36" s="33">
        <f>J34+J35</f>
        <v>59.40327843457649</v>
      </c>
      <c r="K36" s="33">
        <f>K34+K35</f>
        <v>30.675223038684546</v>
      </c>
      <c r="L36" s="33">
        <f>L34+L35</f>
        <v>28.328261723994792</v>
      </c>
      <c r="M36" s="33">
        <f>M34+M35</f>
        <v>39.254192044491944</v>
      </c>
      <c r="N36" s="33">
        <f>N34+N35</f>
        <v>24.159298529736613</v>
      </c>
      <c r="O36" s="33">
        <f>O34+O35</f>
        <v>22.310870599226465</v>
      </c>
      <c r="P36" s="33">
        <f>P34+P35</f>
        <v>27.150528702179646</v>
      </c>
      <c r="Q36" s="33">
        <f>Q34+Q35</f>
        <v>19.027464110460254</v>
      </c>
      <c r="R36" s="33">
        <f>R34+R35</f>
        <v>17.57167283136894</v>
      </c>
      <c r="S36" s="33">
        <f>S34+S35</f>
        <v>19.5005955492909</v>
      </c>
      <c r="T36" s="33">
        <f>T34+T35</f>
        <v>14.98571616345684</v>
      </c>
      <c r="U36" s="33">
        <f>U34+U35</f>
        <v>13.839159019790756</v>
      </c>
      <c r="V36" s="33">
        <f>V34+V35</f>
        <v>14.416990666311564</v>
      </c>
      <c r="W36" s="33">
        <f>W34+W35</f>
        <v>11.802502300253158</v>
      </c>
      <c r="X36" s="33">
        <f>X34+X35</f>
        <v>10.899492849260788</v>
      </c>
      <c r="Y36" s="33">
        <f>Y34+Y35</f>
        <v>10.883905502926346</v>
      </c>
      <c r="Z36" s="33">
        <f>Z34+Z35</f>
        <v>9.295455687807996</v>
      </c>
    </row>
    <row r="37">
      <c r="A37" s="16" t="inlineStr">
        <is>
          <t>CUMULATIVE contribution after CAC</t>
        </is>
      </c>
      <c r="C37" s="49">
        <f>C36</f>
        <v>-2389.18747</v>
      </c>
      <c r="D37" s="49">
        <f>C37+D36</f>
        <v>-2230.8905105457998</v>
      </c>
      <c r="E37" s="49">
        <f>D37+E36</f>
        <v>-2181.4372937108906</v>
      </c>
      <c r="F37" s="49">
        <f>E37+F36</f>
        <v>-2135.76774249602</v>
      </c>
      <c r="G37" s="49">
        <f>F37+G36</f>
        <v>-2041.2190661445998</v>
      </c>
      <c r="H37" s="49">
        <f>G37+H36</f>
        <v>-2002.2705301465514</v>
      </c>
      <c r="I37" s="49">
        <f>H37+I36</f>
        <v>-1966.3019466377139</v>
      </c>
      <c r="J37" s="49">
        <f>I37+J36</f>
        <v>-1906.8986682031373</v>
      </c>
      <c r="K37" s="49">
        <f>J37+K36</f>
        <v>-1876.2234451644526</v>
      </c>
      <c r="L37" s="49">
        <f>K37+L36</f>
        <v>-1847.895183440458</v>
      </c>
      <c r="M37" s="49">
        <f>L37+M36</f>
        <v>-1808.640991395966</v>
      </c>
      <c r="N37" s="49">
        <f>M37+N36</f>
        <v>-1784.4816928662294</v>
      </c>
      <c r="O37" s="49">
        <f>N37+O36</f>
        <v>-1762.170822267003</v>
      </c>
      <c r="P37" s="49">
        <f>O37+P36</f>
        <v>-1735.0202935648233</v>
      </c>
      <c r="Q37" s="49">
        <f>P37+Q36</f>
        <v>-1715.9928294543631</v>
      </c>
      <c r="R37" s="49">
        <f>Q37+R36</f>
        <v>-1698.4211566229942</v>
      </c>
      <c r="S37" s="49">
        <f>R37+S36</f>
        <v>-1678.9205610737033</v>
      </c>
      <c r="T37" s="49">
        <f>S37+T36</f>
        <v>-1663.9348449102465</v>
      </c>
      <c r="U37" s="49">
        <f>T37+U36</f>
        <v>-1650.0956858904558</v>
      </c>
      <c r="V37" s="49">
        <f>U37+V36</f>
        <v>-1635.6786952241441</v>
      </c>
      <c r="W37" s="49">
        <f>V37+W36</f>
        <v>-1623.876192923891</v>
      </c>
      <c r="X37" s="49">
        <f>W37+X36</f>
        <v>-1612.9767000746303</v>
      </c>
      <c r="Y37" s="49">
        <f>X37+Y36</f>
        <v>-1602.092794571704</v>
      </c>
      <c r="Z37" s="49">
        <f>Y37+Z36</f>
        <v>-1592.797338883896</v>
      </c>
    </row>
    <row r="38">
      <c r="A38" s="3" t="inlineStr">
        <is>
          <t>Cumulative contribution before CAC, per customer</t>
        </is>
      </c>
      <c r="C38" s="26">
        <f>SUM($C34:C34)/$B$6</f>
        <v>21.1081253</v>
      </c>
      <c r="D38" s="26">
        <f>SUM($C34:D34)/$B$6</f>
        <v>22.691094894542</v>
      </c>
      <c r="E38" s="26">
        <f>SUM($C34:E34)/$B$6</f>
        <v>23.185627062891093</v>
      </c>
      <c r="F38" s="26">
        <f>SUM($C34:F34)/$B$6</f>
        <v>23.6423225750398</v>
      </c>
      <c r="G38" s="26">
        <f>SUM($C34:G34)/$B$6</f>
        <v>24.587809338554003</v>
      </c>
      <c r="H38" s="26">
        <f>SUM($C34:H34)/$B$6</f>
        <v>24.977294698534482</v>
      </c>
      <c r="I38" s="26">
        <f>SUM($C34:I34)/$B$6</f>
        <v>25.336980533622864</v>
      </c>
      <c r="J38" s="26">
        <f>SUM($C34:J34)/$B$6</f>
        <v>25.931013317968628</v>
      </c>
      <c r="K38" s="26">
        <f>SUM($C34:K34)/$B$6</f>
        <v>26.237765548355473</v>
      </c>
      <c r="L38" s="26">
        <f>SUM($C34:L34)/$B$6</f>
        <v>26.52104816559542</v>
      </c>
      <c r="M38" s="26">
        <f>SUM($C34:M34)/$B$6</f>
        <v>26.91359008604034</v>
      </c>
      <c r="N38" s="26">
        <f>SUM($C34:N34)/$B$6</f>
        <v>27.155183071337706</v>
      </c>
      <c r="O38" s="26">
        <f>SUM($C34:O34)/$B$6</f>
        <v>27.37829177732997</v>
      </c>
      <c r="P38" s="26">
        <f>SUM($C34:P34)/$B$6</f>
        <v>27.649797064351766</v>
      </c>
      <c r="Q38" s="26">
        <f>SUM($C34:Q34)/$B$6</f>
        <v>27.84007170545637</v>
      </c>
      <c r="R38" s="26">
        <f>SUM($C34:R34)/$B$6</f>
        <v>28.01578843377006</v>
      </c>
      <c r="S38" s="26">
        <f>SUM($C34:S34)/$B$6</f>
        <v>28.21079438926297</v>
      </c>
      <c r="T38" s="26">
        <f>SUM($C34:T34)/$B$6</f>
        <v>28.360651550897536</v>
      </c>
      <c r="U38" s="26">
        <f>SUM($C34:U34)/$B$6</f>
        <v>28.499043141095445</v>
      </c>
      <c r="V38" s="26">
        <f>SUM($C34:V34)/$B$6</f>
        <v>28.643213047758557</v>
      </c>
      <c r="W38" s="26">
        <f>SUM($C34:W34)/$B$6</f>
        <v>28.76123807076109</v>
      </c>
      <c r="X38" s="26">
        <f>SUM($C34:X34)/$B$6</f>
        <v>28.870232999253698</v>
      </c>
      <c r="Y38" s="26">
        <f>SUM($C34:Y34)/$B$6</f>
        <v>28.97907205428296</v>
      </c>
      <c r="Z38" s="26">
        <f>SUM($C34:Z34)/$B$6</f>
        <v>29.07202661116104</v>
      </c>
    </row>
    <row r="39">
      <c r="A39" s="3" t="inlineStr">
        <is>
          <t>Gross revenue (reference only - NOT used for LTV)</t>
        </is>
      </c>
      <c r="B39" s="30">
        <f>SUM(C39:Z39)</f>
        <v>14879.133017565558</v>
      </c>
      <c r="C39" s="50">
        <f>IF(C$28=1,$B$6*$B$24,0)+C29*$B$25+C30*$B$26</f>
        <v>9038.864999999998</v>
      </c>
      <c r="D39" s="50">
        <f>IF(D$28=1,$B$6*$B$24,0)+D29*$B$25+D30*$B$26</f>
        <v>949.4629749000001</v>
      </c>
      <c r="E39" s="50">
        <f>IF(E$28=1,$B$6*$B$24,0)+E29*$B$25+E30*$B$26</f>
        <v>405.957407665401</v>
      </c>
      <c r="F39" s="50">
        <f>IF(F$28=1,$B$6*$B$24,0)+F29*$B$25+F30*$B$26</f>
        <v>374.89760640492113</v>
      </c>
      <c r="G39" s="50">
        <f>IF(G$28=1,$B$6*$B$24,0)+G29*$B$25+G30*$B$26</f>
        <v>601.1504405388806</v>
      </c>
      <c r="H39" s="50">
        <f>IF(H$28=1,$B$6*$B$24,0)+H29*$B$25+H30*$B$26</f>
        <v>319.7253428207508</v>
      </c>
      <c r="I39" s="50">
        <f>IF(I$28=1,$B$6*$B$24,0)+I29*$B$25+I30*$B$26</f>
        <v>295.2631568415351</v>
      </c>
      <c r="J39" s="50">
        <f>IF(J$28=1,$B$6*$B$24,0)+J29*$B$25+J30*$B$26</f>
        <v>400.14069771158927</v>
      </c>
      <c r="K39" s="50">
        <f>IF(K$28=1,$B$6*$B$24,0)+K29*$B$25+K30*$B$26</f>
        <v>251.81039417342555</v>
      </c>
      <c r="L39" s="50">
        <f>IF(L$28=1,$B$6*$B$24,0)+L29*$B$25+L30*$B$26</f>
        <v>232.54438091521675</v>
      </c>
      <c r="M39" s="50">
        <f>IF(M$28=1,$B$6*$B$24,0)+M29*$B$25+M30*$B$26</f>
        <v>278.4864728313935</v>
      </c>
      <c r="N39" s="50">
        <f>IF(N$28=1,$B$6*$B$24,0)+N29*$B$25+N30*$B$26</f>
        <v>198.32170341693853</v>
      </c>
      <c r="O39" s="50">
        <f>IF(O$28=1,$B$6*$B$24,0)+O29*$B$25+O30*$B$26</f>
        <v>183.14810988850857</v>
      </c>
      <c r="P39" s="50">
        <f>IF(P$28=1,$B$6*$B$24,0)+P29*$B$25+P30*$B$26</f>
        <v>201.00247925093873</v>
      </c>
      <c r="Q39" s="50">
        <f>IF(Q$28=1,$B$6*$B$24,0)+Q29*$B$25+Q30*$B$26</f>
        <v>156.19489487438693</v>
      </c>
      <c r="R39" s="50">
        <f>IF(R$28=1,$B$6*$B$24,0)+R29*$B$25+R30*$B$26</f>
        <v>144.24442346754756</v>
      </c>
      <c r="S39" s="50">
        <f>IF(S$28=1,$B$6*$B$24,0)+S29*$B$25+S30*$B$26</f>
        <v>149.14179825304552</v>
      </c>
      <c r="T39" s="50">
        <f>IF(T$28=1,$B$6*$B$24,0)+T29*$B$25+T30*$B$26</f>
        <v>123.0165169241737</v>
      </c>
      <c r="U39" s="50">
        <f>IF(U$28=1,$B$6*$B$24,0)+U29*$B$25+U30*$B$26</f>
        <v>113.60452321430519</v>
      </c>
      <c r="V39" s="50">
        <f>IF(V$28=1,$B$6*$B$24,0)+V29*$B$25+V30*$B$26</f>
        <v>112.8793989556787</v>
      </c>
      <c r="W39" s="50">
        <f>IF(W$28=1,$B$6*$B$24,0)+W29*$B$25+W30*$B$26</f>
        <v>96.88577496931407</v>
      </c>
      <c r="X39" s="50">
        <f>IF(X$28=1,$B$6*$B$24,0)+X29*$B$25+X30*$B$26</f>
        <v>89.47304432641184</v>
      </c>
      <c r="Y39" s="50">
        <f>IF(Y$28=1,$B$6*$B$24,0)+Y29*$B$25+Y30*$B$26</f>
        <v>86.61084061124807</v>
      </c>
      <c r="Z39" s="50">
        <f>IF(Z$28=1,$B$6*$B$24,0)+Z29*$B$25+Z30*$B$26</f>
        <v>76.30563460994865</v>
      </c>
    </row>
    <row r="40">
      <c r="A40" s="3" t="inlineStr">
        <is>
          <t>Payback helper (month if cumulative &gt;= 0, else 99)</t>
        </is>
      </c>
      <c r="C40" s="51">
        <f>IF(C37&gt;=0,C$28,99)</f>
        <v>99.0</v>
      </c>
      <c r="D40" s="51">
        <f>IF(D37&gt;=0,D$28,99)</f>
        <v>99.0</v>
      </c>
      <c r="E40" s="51">
        <f>IF(E37&gt;=0,E$28,99)</f>
        <v>99.0</v>
      </c>
      <c r="F40" s="51">
        <f>IF(F37&gt;=0,F$28,99)</f>
        <v>99.0</v>
      </c>
      <c r="G40" s="51">
        <f>IF(G37&gt;=0,G$28,99)</f>
        <v>99.0</v>
      </c>
      <c r="H40" s="51">
        <f>IF(H37&gt;=0,H$28,99)</f>
        <v>99.0</v>
      </c>
      <c r="I40" s="51">
        <f>IF(I37&gt;=0,I$28,99)</f>
        <v>99.0</v>
      </c>
      <c r="J40" s="51">
        <f>IF(J37&gt;=0,J$28,99)</f>
        <v>99.0</v>
      </c>
      <c r="K40" s="51">
        <f>IF(K37&gt;=0,K$28,99)</f>
        <v>99.0</v>
      </c>
      <c r="L40" s="51">
        <f>IF(L37&gt;=0,L$28,99)</f>
        <v>99.0</v>
      </c>
      <c r="M40" s="51">
        <f>IF(M37&gt;=0,M$28,99)</f>
        <v>99.0</v>
      </c>
      <c r="N40" s="51">
        <f>IF(N37&gt;=0,N$28,99)</f>
        <v>99.0</v>
      </c>
      <c r="O40" s="51">
        <f>IF(O37&gt;=0,O$28,99)</f>
        <v>99.0</v>
      </c>
      <c r="P40" s="51">
        <f>IF(P37&gt;=0,P$28,99)</f>
        <v>99.0</v>
      </c>
      <c r="Q40" s="51">
        <f>IF(Q37&gt;=0,Q$28,99)</f>
        <v>99.0</v>
      </c>
      <c r="R40" s="51">
        <f>IF(R37&gt;=0,R$28,99)</f>
        <v>99.0</v>
      </c>
      <c r="S40" s="51">
        <f>IF(S37&gt;=0,S$28,99)</f>
        <v>99.0</v>
      </c>
      <c r="T40" s="51">
        <f>IF(T37&gt;=0,T$28,99)</f>
        <v>99.0</v>
      </c>
      <c r="U40" s="51">
        <f>IF(U37&gt;=0,U$28,99)</f>
        <v>99.0</v>
      </c>
      <c r="V40" s="51">
        <f>IF(V37&gt;=0,V$28,99)</f>
        <v>99.0</v>
      </c>
      <c r="W40" s="51">
        <f>IF(W37&gt;=0,W$28,99)</f>
        <v>99.0</v>
      </c>
      <c r="X40" s="51">
        <f>IF(X37&gt;=0,X$28,99)</f>
        <v>99.0</v>
      </c>
      <c r="Y40" s="51">
        <f>IF(Y37&gt;=0,Y$28,99)</f>
        <v>99.0</v>
      </c>
      <c r="Z40" s="51">
        <f>IF(Z37&gt;=0,Z$28,99)</f>
        <v>99.0</v>
      </c>
    </row>
    <row r="42">
      <c r="A42" s="16" t="inlineStr">
        <is>
          <t>FIRST-ORDER contribution before ads, per customer</t>
        </is>
      </c>
      <c r="B42" s="42">
        <f>$B$12</f>
        <v>21.1081253</v>
      </c>
    </row>
    <row r="43">
      <c r="A43" s="16" t="inlineStr">
        <is>
          <t>FIRST-ORDER contribution after CAC, per customer</t>
        </is>
      </c>
      <c r="B43" s="42">
        <f>$B$12-$B$13</f>
        <v>-23.8918747</v>
      </c>
    </row>
    <row r="44">
      <c r="A44" s="16" t="inlineStr">
        <is>
          <t>Is the first order profitable after CAC?</t>
        </is>
      </c>
      <c r="B44" s="52" t="str">
        <f>IF(B43&gt;=0,"YES - first order covers CAC","NO - first order loses money after CAC")</f>
        <v>NO - first order loses money after CAC</v>
      </c>
    </row>
    <row r="45">
      <c r="A45" s="3" t="inlineStr">
        <is>
          <t>Payback month (numeric; 99 = none within 24 months)</t>
        </is>
      </c>
      <c r="B45" s="41">
        <f>MIN(C40:Z40)</f>
        <v>99.0</v>
      </c>
    </row>
    <row r="46">
      <c r="A46" s="16" t="inlineStr">
        <is>
          <t>Payback (display)</t>
        </is>
      </c>
      <c r="B46" s="52" t="str">
        <f>IF(B45&gt;24,"No payback within 24 months","Month "&amp;B45)</f>
        <v>No payback within 24 months</v>
      </c>
    </row>
    <row r="47">
      <c r="A47" s="16" t="inlineStr">
        <is>
          <t>12-month contribution LTV per customer (before CAC)</t>
        </is>
      </c>
      <c r="B47" s="42">
        <f>SUM(C34:N34)/$B$6</f>
        <v>27.155183071337706</v>
      </c>
    </row>
    <row r="48">
      <c r="A48" s="16" t="inlineStr">
        <is>
          <t>24-month contribution LTV per customer (before CAC)</t>
        </is>
      </c>
      <c r="B48" s="42">
        <f>SUM(C34:Z34)/$B$6</f>
        <v>29.07202661116104</v>
      </c>
    </row>
    <row r="49">
      <c r="A49" s="16" t="inlineStr">
        <is>
          <t>12-month contribution LTV net of CAC</t>
        </is>
      </c>
      <c r="B49" s="42">
        <f>B47-$B$13</f>
        <v>-17.844816928662294</v>
      </c>
    </row>
    <row r="50">
      <c r="A50" s="3" t="inlineStr">
        <is>
          <t>24-month contribution LTV net of CAC</t>
        </is>
      </c>
      <c r="B50" s="26">
        <f>B48-$B$13</f>
        <v>-15.92797338883896</v>
      </c>
    </row>
    <row r="51">
      <c r="A51" s="16" t="inlineStr">
        <is>
          <t>12-month LTV:CAC (contribution basis)</t>
        </is>
      </c>
      <c r="B51" s="53">
        <f>IFERROR(B47/$B$13,0)</f>
        <v>0.6034485126963934</v>
      </c>
    </row>
    <row r="52">
      <c r="A52" s="3" t="inlineStr">
        <is>
          <t>24-month LTV:CAC</t>
        </is>
      </c>
      <c r="B52" s="37">
        <f>IFERROR(B48/$B$13,0)</f>
        <v>0.6460450358035786</v>
      </c>
    </row>
    <row r="53">
      <c r="A53" s="3" t="inlineStr">
        <is>
          <t>12-month LTV : blended CAC (info only)</t>
        </is>
      </c>
      <c r="B53" s="37">
        <f>IFERROR(B47/($B$13*Inputs!$G$121),0)</f>
        <v>0.7099394267016393</v>
      </c>
    </row>
    <row r="54">
      <c r="A54" s="3" t="inlineStr">
        <is>
          <t>Cohort contribution from subscription renewals, months 1-24</t>
        </is>
      </c>
      <c r="B54" s="33">
        <f>B29*$B$14</f>
        <v>587.7152539676666</v>
      </c>
    </row>
    <row r="55">
      <c r="A55" s="3" t="inlineStr">
        <is>
          <t>Renewal contribution per subscriber, 12 months</t>
        </is>
      </c>
      <c r="B55" s="26">
        <f>IFERROR(SUM(C29:N29)*$B$14/$B$9,0)</f>
        <v>27.220392850584695</v>
      </c>
    </row>
    <row r="56">
      <c r="A56" s="3" t="inlineStr">
        <is>
          <t>Repeat contribution per occasional buyer, 12 months</t>
        </is>
      </c>
      <c r="B56" s="26">
        <f>IFERROR(SUM(C30:N30)*$B$15/$B$10,0)</f>
        <v>15.403912499999995</v>
      </c>
    </row>
    <row r="57">
      <c r="A57" s="3" t="inlineStr">
        <is>
          <t>Orders per acquired customer, 12 months</t>
        </is>
      </c>
      <c r="B57" s="11">
        <f>($B$6+SUM(C29:N29)+SUM(C30:N30))/$B$6</f>
        <v>2.1703368854630467</v>
      </c>
    </row>
    <row r="58">
      <c r="A58" s="3" t="inlineStr">
        <is>
          <t>Renewal contribution per subscriber, 24 months</t>
        </is>
      </c>
      <c r="B58" s="26">
        <f>IFERROR(SUM(C29:Z29)*$B$14/$B$9,0)</f>
        <v>39.18101693117777</v>
      </c>
    </row>
    <row r="59">
      <c r="A59" s="3" t="inlineStr">
        <is>
          <t>Repeat contribution per occasional buyer, 24 months</t>
        </is>
      </c>
      <c r="B59" s="26">
        <f>IFERROR(SUM(C30:Z30)*$B$15/$B$10,0)</f>
        <v>16.366657031249996</v>
      </c>
    </row>
    <row r="62">
      <c r="A62" s="54" t="inlineStr">
        <is>
          <t>ENGINE BLOCKS BELOW (same formulas; feed Scenarios and Sensitivity; do not edit)</t>
        </is>
      </c>
    </row>
    <row r="64">
      <c r="A64" s="43" t="inlineStr">
        <is>
          <t>Engine cohort: PESSIMISTIC (engine)</t>
        </is>
      </c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</row>
    <row r="66">
      <c r="A66" s="3" t="inlineStr">
        <is>
          <t>Customers acquired (N)</t>
        </is>
      </c>
      <c r="B66" s="12">
        <f>Inputs!$D$9</f>
        <v>100.0</v>
      </c>
    </row>
    <row r="67">
      <c r="A67" s="3" t="inlineStr">
        <is>
          <t>Subscription attach (after any shock)</t>
        </is>
      </c>
      <c r="B67" s="34">
        <f>MIN(1,Inputs!$D$144*Espresso_UnitEcon!$H$10)</f>
        <v>0.08</v>
      </c>
    </row>
    <row r="68">
      <c r="A68" s="3" t="inlineStr">
        <is>
          <t>Non-subscriber 12-month repeat rate</t>
        </is>
      </c>
      <c r="B68" s="45">
        <f>Inputs!$D$147</f>
        <v>0.1</v>
      </c>
    </row>
    <row r="69">
      <c r="A69" s="3" t="inlineStr">
        <is>
          <t>Segment: subscribers</t>
        </is>
      </c>
      <c r="B69" s="46">
        <f>$B$66*$B$67</f>
        <v>8.0</v>
      </c>
    </row>
    <row r="70">
      <c r="A70" s="3" t="inlineStr">
        <is>
          <t>Segment: occasional repeat buyers</t>
        </is>
      </c>
      <c r="B70" s="46">
        <f>$B$66*(1-$B$67)*$B$68</f>
        <v>9.200000000000001</v>
      </c>
    </row>
    <row r="71">
      <c r="A71" s="3" t="inlineStr">
        <is>
          <t>Segment: one-time only</t>
        </is>
      </c>
      <c r="B71" s="46">
        <f>$B$66-$B$69-$B$70</f>
        <v>82.8</v>
      </c>
    </row>
    <row r="72">
      <c r="A72" s="3" t="inlineStr">
        <is>
          <t>First-order contribution before ads, per customer (mix)</t>
        </is>
      </c>
      <c r="B72" s="39">
        <f>Espresso_UnitEcon!$H$57</f>
        <v>-42.00751790800001</v>
      </c>
    </row>
    <row r="73">
      <c r="A73" s="3" t="inlineStr">
        <is>
          <t>Paid CAC per new customer</t>
        </is>
      </c>
      <c r="B73" s="39">
        <f>Espresso_UnitEcon!$H$60</f>
        <v>64.0</v>
      </c>
    </row>
    <row r="74">
      <c r="A74" s="3" t="inlineStr">
        <is>
          <t>Contribution per subscription renewal order</t>
        </is>
      </c>
      <c r="B74" s="39">
        <f>Espresso_UnitEcon!$K$50</f>
        <v>-0.22950499999999607</v>
      </c>
    </row>
    <row r="75">
      <c r="A75" s="3" t="inlineStr">
        <is>
          <t>Contribution per occasional repeat order</t>
        </is>
      </c>
      <c r="B75" s="39">
        <f>Espresso_UnitEcon!$L$50</f>
        <v>3.3605500000000035</v>
      </c>
    </row>
    <row r="76">
      <c r="A76" s="3" t="inlineStr">
        <is>
          <t>First-month drop (incl. involuntary)</t>
        </is>
      </c>
      <c r="B76" s="34">
        <f>1-(1-MIN(1,Inputs!$D$145*Espresso_UnitEcon!$H$11))*(1-MIN(1,Inputs!$D$137*Espresso_UnitEcon!$H$11))</f>
        <v>0.25750000000000006</v>
      </c>
    </row>
    <row r="77">
      <c r="A77" s="3" t="inlineStr">
        <is>
          <t>Monthly churn after month 2 (incl. involuntary)</t>
        </is>
      </c>
      <c r="B77" s="34">
        <f>1-(1-MIN(1,Inputs!$D$146*Espresso_UnitEcon!$H$11))*(1-MIN(1,Inputs!$D$137*Espresso_UnitEcon!$H$11))</f>
        <v>0.10899999999999999</v>
      </c>
    </row>
    <row r="78">
      <c r="A78" s="3" t="inlineStr">
        <is>
          <t>Renewal cadence (months)</t>
        </is>
      </c>
      <c r="B78" s="41" t="n">
        <v>1</v>
      </c>
    </row>
    <row r="79">
      <c r="A79" s="3" t="inlineStr">
        <is>
          <t>Occasional: month of first repeat</t>
        </is>
      </c>
      <c r="B79" s="12">
        <f>Inputs!$D$148</f>
        <v>3.0</v>
      </c>
    </row>
    <row r="80">
      <c r="A80" s="3" t="inlineStr">
        <is>
          <t>Occasional: months between orders</t>
        </is>
      </c>
      <c r="B80" s="12">
        <f>Inputs!$D$149</f>
        <v>4.0</v>
      </c>
    </row>
    <row r="81">
      <c r="A81" s="3" t="inlineStr">
        <is>
          <t>Occasional: probability of each further order</t>
        </is>
      </c>
      <c r="B81" s="45">
        <f>Inputs!$D$150</f>
        <v>0.4</v>
      </c>
    </row>
    <row r="82">
      <c r="A82" s="3" t="inlineStr">
        <is>
          <t>First-order contribution - subscriber</t>
        </is>
      </c>
      <c r="B82" s="39">
        <f>Espresso_UnitEcon!$H$63</f>
        <v>-41.9731031</v>
      </c>
    </row>
    <row r="83">
      <c r="A83" s="3" t="inlineStr">
        <is>
          <t>First-order contribution - non-subscriber</t>
        </is>
      </c>
      <c r="B83" s="39">
        <f>Espresso_UnitEcon!$H$64</f>
        <v>-42.01051050000001</v>
      </c>
    </row>
    <row r="84">
      <c r="A84" s="3" t="inlineStr">
        <is>
          <t>First-order gross revenue (mix) - reference</t>
        </is>
      </c>
      <c r="B84" s="39">
        <f>Espresso_UnitEcon!$H$59</f>
        <v>77.72528</v>
      </c>
    </row>
    <row r="85">
      <c r="A85" s="3" t="inlineStr">
        <is>
          <t>Renewal order gross revenue - reference</t>
        </is>
      </c>
      <c r="B85" s="39">
        <f>Espresso_UnitEcon!$K$35</f>
        <v>34.191</v>
      </c>
    </row>
    <row r="86">
      <c r="A86" s="3" t="inlineStr">
        <is>
          <t>Occasional order gross revenue - reference</t>
        </is>
      </c>
      <c r="B86" s="39">
        <f>Espresso_UnitEcon!$L$35</f>
        <v>37.99</v>
      </c>
    </row>
    <row r="88">
      <c r="A88" s="4" t="inlineStr">
        <is>
          <t>Month</t>
        </is>
      </c>
      <c r="B88" s="4" t="inlineStr">
        <is>
          <t>Total 1-24</t>
        </is>
      </c>
      <c r="C88" s="47" t="n">
        <v>1</v>
      </c>
      <c r="D88" s="47" t="n">
        <v>2</v>
      </c>
      <c r="E88" s="47" t="n">
        <v>3</v>
      </c>
      <c r="F88" s="47" t="n">
        <v>4</v>
      </c>
      <c r="G88" s="47" t="n">
        <v>5</v>
      </c>
      <c r="H88" s="47" t="n">
        <v>6</v>
      </c>
      <c r="I88" s="47" t="n">
        <v>7</v>
      </c>
      <c r="J88" s="47" t="n">
        <v>8</v>
      </c>
      <c r="K88" s="47" t="n">
        <v>9</v>
      </c>
      <c r="L88" s="47" t="n">
        <v>10</v>
      </c>
      <c r="M88" s="47" t="n">
        <v>11</v>
      </c>
      <c r="N88" s="47" t="n">
        <v>12</v>
      </c>
      <c r="O88" s="47" t="n">
        <v>13</v>
      </c>
      <c r="P88" s="47" t="n">
        <v>14</v>
      </c>
      <c r="Q88" s="47" t="n">
        <v>15</v>
      </c>
      <c r="R88" s="47" t="n">
        <v>16</v>
      </c>
      <c r="S88" s="47" t="n">
        <v>17</v>
      </c>
      <c r="T88" s="47" t="n">
        <v>18</v>
      </c>
      <c r="U88" s="47" t="n">
        <v>19</v>
      </c>
      <c r="V88" s="47" t="n">
        <v>20</v>
      </c>
      <c r="W88" s="47" t="n">
        <v>21</v>
      </c>
      <c r="X88" s="47" t="n">
        <v>22</v>
      </c>
      <c r="Y88" s="47" t="n">
        <v>23</v>
      </c>
      <c r="Z88" s="47" t="n">
        <v>24</v>
      </c>
    </row>
    <row r="89">
      <c r="A89" s="3" t="inlineStr">
        <is>
          <t>Subscription renewal orders (paying subscribers)</t>
        </is>
      </c>
      <c r="B89" s="48">
        <f>SUM(C89:Z89)</f>
        <v>50.662339407006606</v>
      </c>
      <c r="C89" s="46">
        <f>IF(C$88&gt;=2,$B$69*(1-$B$76)*(1-$B$77)^(C$88-2),0)</f>
        <v>0.0</v>
      </c>
      <c r="D89" s="46">
        <f>IF(D$88&gt;=2,$B$69*(1-$B$76)*(1-$B$77)^(D$88-2),0)</f>
        <v>5.9399999999999995</v>
      </c>
      <c r="E89" s="46">
        <f>IF(E$88&gt;=2,$B$69*(1-$B$76)*(1-$B$77)^(E$88-2),0)</f>
        <v>5.29254</v>
      </c>
      <c r="F89" s="46">
        <f>IF(F$88&gt;=2,$B$69*(1-$B$76)*(1-$B$77)^(F$88-2),0)</f>
        <v>4.71565314</v>
      </c>
      <c r="G89" s="46">
        <f>IF(G$88&gt;=2,$B$69*(1-$B$76)*(1-$B$77)^(G$88-2),0)</f>
        <v>4.20164694774</v>
      </c>
      <c r="H89" s="46">
        <f>IF(H$88&gt;=2,$B$69*(1-$B$76)*(1-$B$77)^(H$88-2),0)</f>
        <v>3.7436674304363398</v>
      </c>
      <c r="I89" s="46">
        <f>IF(I$88&gt;=2,$B$69*(1-$B$76)*(1-$B$77)^(I$88-2),0)</f>
        <v>3.3356076805187787</v>
      </c>
      <c r="J89" s="46">
        <f>IF(J$88&gt;=2,$B$69*(1-$B$76)*(1-$B$77)^(J$88-2),0)</f>
        <v>2.9720264433422323</v>
      </c>
      <c r="K89" s="46">
        <f>IF(K$88&gt;=2,$B$69*(1-$B$76)*(1-$B$77)^(K$88-2),0)</f>
        <v>2.648075561017929</v>
      </c>
      <c r="L89" s="46">
        <f>IF(L$88&gt;=2,$B$69*(1-$B$76)*(1-$B$77)^(L$88-2),0)</f>
        <v>2.3594353248669746</v>
      </c>
      <c r="M89" s="46">
        <f>IF(M$88&gt;=2,$B$69*(1-$B$76)*(1-$B$77)^(M$88-2),0)</f>
        <v>2.1022568744564745</v>
      </c>
      <c r="N89" s="46">
        <f>IF(N$88&gt;=2,$B$69*(1-$B$76)*(1-$B$77)^(N$88-2),0)</f>
        <v>1.8731108751407188</v>
      </c>
      <c r="O89" s="46">
        <f>IF(O$88&gt;=2,$B$69*(1-$B$76)*(1-$B$77)^(O$88-2),0)</f>
        <v>1.6689417897503804</v>
      </c>
      <c r="P89" s="46">
        <f>IF(P$88&gt;=2,$B$69*(1-$B$76)*(1-$B$77)^(P$88-2),0)</f>
        <v>1.4870271346675892</v>
      </c>
      <c r="Q89" s="46">
        <f>IF(Q$88&gt;=2,$B$69*(1-$B$76)*(1-$B$77)^(Q$88-2),0)</f>
        <v>1.3249411769888217</v>
      </c>
      <c r="R89" s="46">
        <f>IF(R$88&gt;=2,$B$69*(1-$B$76)*(1-$B$77)^(R$88-2),0)</f>
        <v>1.1805225886970403</v>
      </c>
      <c r="S89" s="46">
        <f>IF(S$88&gt;=2,$B$69*(1-$B$76)*(1-$B$77)^(S$88-2),0)</f>
        <v>1.0518456265290628</v>
      </c>
      <c r="T89" s="46">
        <f>IF(T$88&gt;=2,$B$69*(1-$B$76)*(1-$B$77)^(T$88-2),0)</f>
        <v>0.937194453237395</v>
      </c>
      <c r="U89" s="46">
        <f>IF(U$88&gt;=2,$B$69*(1-$B$76)*(1-$B$77)^(U$88-2),0)</f>
        <v>0.835040257834519</v>
      </c>
      <c r="V89" s="46">
        <f>IF(V$88&gt;=2,$B$69*(1-$B$76)*(1-$B$77)^(V$88-2),0)</f>
        <v>0.7440208697305565</v>
      </c>
      <c r="W89" s="46">
        <f>IF(W$88&gt;=2,$B$69*(1-$B$76)*(1-$B$77)^(W$88-2),0)</f>
        <v>0.6629225949299258</v>
      </c>
      <c r="X89" s="46">
        <f>IF(X$88&gt;=2,$B$69*(1-$B$76)*(1-$B$77)^(X$88-2),0)</f>
        <v>0.5906640320825639</v>
      </c>
      <c r="Y89" s="46">
        <f>IF(Y$88&gt;=2,$B$69*(1-$B$76)*(1-$B$77)^(Y$88-2),0)</f>
        <v>0.5262816525855644</v>
      </c>
      <c r="Z89" s="46">
        <f>IF(Z$88&gt;=2,$B$69*(1-$B$76)*(1-$B$77)^(Z$88-2),0)</f>
        <v>0.46891695245373793</v>
      </c>
    </row>
    <row r="90">
      <c r="A90" s="3" t="inlineStr">
        <is>
          <t>Occasional repeat orders</t>
        </is>
      </c>
      <c r="B90" s="48">
        <f>SUM(C90:Z90)</f>
        <v>15.270528000000002</v>
      </c>
      <c r="C90" s="46">
        <f>IF(AND(C$88&gt;=$B$79,MOD(C$88-$B$79,$B$80)=0),$B$70*$B$81^((C$88-$B$79)/$B$80),0)</f>
        <v>0.0</v>
      </c>
      <c r="D90" s="46">
        <f>IF(AND(D$88&gt;=$B$79,MOD(D$88-$B$79,$B$80)=0),$B$70*$B$81^((D$88-$B$79)/$B$80),0)</f>
        <v>0.0</v>
      </c>
      <c r="E90" s="46">
        <f>IF(AND(E$88&gt;=$B$79,MOD(E$88-$B$79,$B$80)=0),$B$70*$B$81^((E$88-$B$79)/$B$80),0)</f>
        <v>9.200000000000001</v>
      </c>
      <c r="F90" s="46">
        <f>IF(AND(F$88&gt;=$B$79,MOD(F$88-$B$79,$B$80)=0),$B$70*$B$81^((F$88-$B$79)/$B$80),0)</f>
        <v>0.0</v>
      </c>
      <c r="G90" s="46">
        <f>IF(AND(G$88&gt;=$B$79,MOD(G$88-$B$79,$B$80)=0),$B$70*$B$81^((G$88-$B$79)/$B$80),0)</f>
        <v>0.0</v>
      </c>
      <c r="H90" s="46">
        <f>IF(AND(H$88&gt;=$B$79,MOD(H$88-$B$79,$B$80)=0),$B$70*$B$81^((H$88-$B$79)/$B$80),0)</f>
        <v>0.0</v>
      </c>
      <c r="I90" s="46">
        <f>IF(AND(I$88&gt;=$B$79,MOD(I$88-$B$79,$B$80)=0),$B$70*$B$81^((I$88-$B$79)/$B$80),0)</f>
        <v>3.6800000000000006</v>
      </c>
      <c r="J90" s="46">
        <f>IF(AND(J$88&gt;=$B$79,MOD(J$88-$B$79,$B$80)=0),$B$70*$B$81^((J$88-$B$79)/$B$80),0)</f>
        <v>0.0</v>
      </c>
      <c r="K90" s="46">
        <f>IF(AND(K$88&gt;=$B$79,MOD(K$88-$B$79,$B$80)=0),$B$70*$B$81^((K$88-$B$79)/$B$80),0)</f>
        <v>0.0</v>
      </c>
      <c r="L90" s="46">
        <f>IF(AND(L$88&gt;=$B$79,MOD(L$88-$B$79,$B$80)=0),$B$70*$B$81^((L$88-$B$79)/$B$80),0)</f>
        <v>0.0</v>
      </c>
      <c r="M90" s="46">
        <f>IF(AND(M$88&gt;=$B$79,MOD(M$88-$B$79,$B$80)=0),$B$70*$B$81^((M$88-$B$79)/$B$80),0)</f>
        <v>1.4720000000000004</v>
      </c>
      <c r="N90" s="46">
        <f>IF(AND(N$88&gt;=$B$79,MOD(N$88-$B$79,$B$80)=0),$B$70*$B$81^((N$88-$B$79)/$B$80),0)</f>
        <v>0.0</v>
      </c>
      <c r="O90" s="46">
        <f>IF(AND(O$88&gt;=$B$79,MOD(O$88-$B$79,$B$80)=0),$B$70*$B$81^((O$88-$B$79)/$B$80),0)</f>
        <v>0.0</v>
      </c>
      <c r="P90" s="46">
        <f>IF(AND(P$88&gt;=$B$79,MOD(P$88-$B$79,$B$80)=0),$B$70*$B$81^((P$88-$B$79)/$B$80),0)</f>
        <v>0.0</v>
      </c>
      <c r="Q90" s="46">
        <f>IF(AND(Q$88&gt;=$B$79,MOD(Q$88-$B$79,$B$80)=0),$B$70*$B$81^((Q$88-$B$79)/$B$80),0)</f>
        <v>0.5888000000000002</v>
      </c>
      <c r="R90" s="46">
        <f>IF(AND(R$88&gt;=$B$79,MOD(R$88-$B$79,$B$80)=0),$B$70*$B$81^((R$88-$B$79)/$B$80),0)</f>
        <v>0.0</v>
      </c>
      <c r="S90" s="46">
        <f>IF(AND(S$88&gt;=$B$79,MOD(S$88-$B$79,$B$80)=0),$B$70*$B$81^((S$88-$B$79)/$B$80),0)</f>
        <v>0.0</v>
      </c>
      <c r="T90" s="46">
        <f>IF(AND(T$88&gt;=$B$79,MOD(T$88-$B$79,$B$80)=0),$B$70*$B$81^((T$88-$B$79)/$B$80),0)</f>
        <v>0.0</v>
      </c>
      <c r="U90" s="46">
        <f>IF(AND(U$88&gt;=$B$79,MOD(U$88-$B$79,$B$80)=0),$B$70*$B$81^((U$88-$B$79)/$B$80),0)</f>
        <v>0.23552000000000006</v>
      </c>
      <c r="V90" s="46">
        <f>IF(AND(V$88&gt;=$B$79,MOD(V$88-$B$79,$B$80)=0),$B$70*$B$81^((V$88-$B$79)/$B$80),0)</f>
        <v>0.0</v>
      </c>
      <c r="W90" s="46">
        <f>IF(AND(W$88&gt;=$B$79,MOD(W$88-$B$79,$B$80)=0),$B$70*$B$81^((W$88-$B$79)/$B$80),0)</f>
        <v>0.0</v>
      </c>
      <c r="X90" s="46">
        <f>IF(AND(X$88&gt;=$B$79,MOD(X$88-$B$79,$B$80)=0),$B$70*$B$81^((X$88-$B$79)/$B$80),0)</f>
        <v>0.0</v>
      </c>
      <c r="Y90" s="46">
        <f>IF(AND(Y$88&gt;=$B$79,MOD(Y$88-$B$79,$B$80)=0),$B$70*$B$81^((Y$88-$B$79)/$B$80),0)</f>
        <v>0.09420800000000003</v>
      </c>
      <c r="Z90" s="46">
        <f>IF(AND(Z$88&gt;=$B$79,MOD(Z$88-$B$79,$B$80)=0),$B$70*$B$81^((Z$88-$B$79)/$B$80),0)</f>
        <v>0.0</v>
      </c>
    </row>
    <row r="91">
      <c r="A91" s="3" t="inlineStr">
        <is>
          <t>Contribution - one-time-only segment</t>
        </is>
      </c>
      <c r="B91" s="30">
        <f>SUM(C91:Z91)</f>
        <v>-3478.4702694000007</v>
      </c>
      <c r="C91" s="33">
        <f>IF(C$88=1,$B$71*$B$83,0)</f>
        <v>-3478.4702694000007</v>
      </c>
      <c r="D91" s="33">
        <f>IF(D$88=1,$B$71*$B$83,0)</f>
        <v>0.0</v>
      </c>
      <c r="E91" s="33">
        <f>IF(E$88=1,$B$71*$B$83,0)</f>
        <v>0.0</v>
      </c>
      <c r="F91" s="33">
        <f>IF(F$88=1,$B$71*$B$83,0)</f>
        <v>0.0</v>
      </c>
      <c r="G91" s="33">
        <f>IF(G$88=1,$B$71*$B$83,0)</f>
        <v>0.0</v>
      </c>
      <c r="H91" s="33">
        <f>IF(H$88=1,$B$71*$B$83,0)</f>
        <v>0.0</v>
      </c>
      <c r="I91" s="33">
        <f>IF(I$88=1,$B$71*$B$83,0)</f>
        <v>0.0</v>
      </c>
      <c r="J91" s="33">
        <f>IF(J$88=1,$B$71*$B$83,0)</f>
        <v>0.0</v>
      </c>
      <c r="K91" s="33">
        <f>IF(K$88=1,$B$71*$B$83,0)</f>
        <v>0.0</v>
      </c>
      <c r="L91" s="33">
        <f>IF(L$88=1,$B$71*$B$83,0)</f>
        <v>0.0</v>
      </c>
      <c r="M91" s="33">
        <f>IF(M$88=1,$B$71*$B$83,0)</f>
        <v>0.0</v>
      </c>
      <c r="N91" s="33">
        <f>IF(N$88=1,$B$71*$B$83,0)</f>
        <v>0.0</v>
      </c>
      <c r="O91" s="33">
        <f>IF(O$88=1,$B$71*$B$83,0)</f>
        <v>0.0</v>
      </c>
      <c r="P91" s="33">
        <f>IF(P$88=1,$B$71*$B$83,0)</f>
        <v>0.0</v>
      </c>
      <c r="Q91" s="33">
        <f>IF(Q$88=1,$B$71*$B$83,0)</f>
        <v>0.0</v>
      </c>
      <c r="R91" s="33">
        <f>IF(R$88=1,$B$71*$B$83,0)</f>
        <v>0.0</v>
      </c>
      <c r="S91" s="33">
        <f>IF(S$88=1,$B$71*$B$83,0)</f>
        <v>0.0</v>
      </c>
      <c r="T91" s="33">
        <f>IF(T$88=1,$B$71*$B$83,0)</f>
        <v>0.0</v>
      </c>
      <c r="U91" s="33">
        <f>IF(U$88=1,$B$71*$B$83,0)</f>
        <v>0.0</v>
      </c>
      <c r="V91" s="33">
        <f>IF(V$88=1,$B$71*$B$83,0)</f>
        <v>0.0</v>
      </c>
      <c r="W91" s="33">
        <f>IF(W$88=1,$B$71*$B$83,0)</f>
        <v>0.0</v>
      </c>
      <c r="X91" s="33">
        <f>IF(X$88=1,$B$71*$B$83,0)</f>
        <v>0.0</v>
      </c>
      <c r="Y91" s="33">
        <f>IF(Y$88=1,$B$71*$B$83,0)</f>
        <v>0.0</v>
      </c>
      <c r="Z91" s="33">
        <f>IF(Z$88=1,$B$71*$B$83,0)</f>
        <v>0.0</v>
      </c>
    </row>
    <row r="92">
      <c r="A92" s="3" t="inlineStr">
        <is>
          <t>Contribution - occasional repeat segment</t>
        </is>
      </c>
      <c r="B92" s="30">
        <f>SUM(C92:Z92)</f>
        <v>-335.17932372960007</v>
      </c>
      <c r="C92" s="33">
        <f>IF(C$88=1,$B$70*$B$83,0)+C90*$B$75</f>
        <v>-386.4966966000001</v>
      </c>
      <c r="D92" s="33">
        <f>IF(D$88=1,$B$70*$B$83,0)+D90*$B$75</f>
        <v>0.0</v>
      </c>
      <c r="E92" s="33">
        <f>IF(E$88=1,$B$70*$B$83,0)+E90*$B$75</f>
        <v>30.917060000000035</v>
      </c>
      <c r="F92" s="33">
        <f>IF(F$88=1,$B$70*$B$83,0)+F90*$B$75</f>
        <v>0.0</v>
      </c>
      <c r="G92" s="33">
        <f>IF(G$88=1,$B$70*$B$83,0)+G90*$B$75</f>
        <v>0.0</v>
      </c>
      <c r="H92" s="33">
        <f>IF(H$88=1,$B$70*$B$83,0)+H90*$B$75</f>
        <v>0.0</v>
      </c>
      <c r="I92" s="33">
        <f>IF(I$88=1,$B$70*$B$83,0)+I90*$B$75</f>
        <v>12.366824000000015</v>
      </c>
      <c r="J92" s="33">
        <f>IF(J$88=1,$B$70*$B$83,0)+J90*$B$75</f>
        <v>0.0</v>
      </c>
      <c r="K92" s="33">
        <f>IF(K$88=1,$B$70*$B$83,0)+K90*$B$75</f>
        <v>0.0</v>
      </c>
      <c r="L92" s="33">
        <f>IF(L$88=1,$B$70*$B$83,0)+L90*$B$75</f>
        <v>0.0</v>
      </c>
      <c r="M92" s="33">
        <f>IF(M$88=1,$B$70*$B$83,0)+M90*$B$75</f>
        <v>4.9467296000000065</v>
      </c>
      <c r="N92" s="33">
        <f>IF(N$88=1,$B$70*$B$83,0)+N90*$B$75</f>
        <v>0.0</v>
      </c>
      <c r="O92" s="33">
        <f>IF(O$88=1,$B$70*$B$83,0)+O90*$B$75</f>
        <v>0.0</v>
      </c>
      <c r="P92" s="33">
        <f>IF(P$88=1,$B$70*$B$83,0)+P90*$B$75</f>
        <v>0.0</v>
      </c>
      <c r="Q92" s="33">
        <f>IF(Q$88=1,$B$70*$B$83,0)+Q90*$B$75</f>
        <v>1.9786918400000029</v>
      </c>
      <c r="R92" s="33">
        <f>IF(R$88=1,$B$70*$B$83,0)+R90*$B$75</f>
        <v>0.0</v>
      </c>
      <c r="S92" s="33">
        <f>IF(S$88=1,$B$70*$B$83,0)+S90*$B$75</f>
        <v>0.0</v>
      </c>
      <c r="T92" s="33">
        <f>IF(T$88=1,$B$70*$B$83,0)+T90*$B$75</f>
        <v>0.0</v>
      </c>
      <c r="U92" s="33">
        <f>IF(U$88=1,$B$70*$B$83,0)+U90*$B$75</f>
        <v>0.791476736000001</v>
      </c>
      <c r="V92" s="33">
        <f>IF(V$88=1,$B$70*$B$83,0)+V90*$B$75</f>
        <v>0.0</v>
      </c>
      <c r="W92" s="33">
        <f>IF(W$88=1,$B$70*$B$83,0)+W90*$B$75</f>
        <v>0.0</v>
      </c>
      <c r="X92" s="33">
        <f>IF(X$88=1,$B$70*$B$83,0)+X90*$B$75</f>
        <v>0.0</v>
      </c>
      <c r="Y92" s="33">
        <f>IF(Y$88=1,$B$70*$B$83,0)+Y90*$B$75</f>
        <v>0.3165906944000004</v>
      </c>
      <c r="Z92" s="33">
        <f>IF(Z$88=1,$B$70*$B$83,0)+Z90*$B$75</f>
        <v>0.0</v>
      </c>
    </row>
    <row r="93">
      <c r="A93" s="3" t="inlineStr">
        <is>
          <t>Contribution - subscriber segment</t>
        </is>
      </c>
      <c r="B93" s="30">
        <f>SUM(C93:Z93)</f>
        <v>-347.41208500560487</v>
      </c>
      <c r="C93" s="33">
        <f>IF(C$88=1,$B$69*$B$82,0)+C89*$B$74</f>
        <v>-335.7848248</v>
      </c>
      <c r="D93" s="33">
        <f>IF(D$88=1,$B$69*$B$82,0)+D89*$B$74</f>
        <v>-1.3632596999999766</v>
      </c>
      <c r="E93" s="33">
        <f>IF(E$88=1,$B$69*$B$82,0)+E89*$B$74</f>
        <v>-1.2146643926999792</v>
      </c>
      <c r="F93" s="33">
        <f>IF(F$88=1,$B$69*$B$82,0)+F89*$B$74</f>
        <v>-1.0822659738956815</v>
      </c>
      <c r="G93" s="33">
        <f>IF(G$88=1,$B$69*$B$82,0)+G89*$B$74</f>
        <v>-0.9642989827410521</v>
      </c>
      <c r="H93" s="33">
        <f>IF(H$88=1,$B$69*$B$82,0)+H89*$B$74</f>
        <v>-0.8591903936222774</v>
      </c>
      <c r="I93" s="33">
        <f>IF(I$88=1,$B$69*$B$82,0)+I89*$B$74</f>
        <v>-0.7655386407174491</v>
      </c>
      <c r="J93" s="33">
        <f>IF(J$88=1,$B$69*$B$82,0)+J89*$B$74</f>
        <v>-0.6820949288792474</v>
      </c>
      <c r="K93" s="33">
        <f>IF(K$88=1,$B$69*$B$82,0)+K89*$B$74</f>
        <v>-0.6077465816314094</v>
      </c>
      <c r="L93" s="33">
        <f>IF(L$88=1,$B$69*$B$82,0)+L89*$B$74</f>
        <v>-0.5415022042335857</v>
      </c>
      <c r="M93" s="33">
        <f>IF(M$88=1,$B$69*$B$82,0)+M89*$B$74</f>
        <v>-0.4824784639721249</v>
      </c>
      <c r="N93" s="33">
        <f>IF(N$88=1,$B$69*$B$82,0)+N89*$B$74</f>
        <v>-0.42988831139916334</v>
      </c>
      <c r="O93" s="33">
        <f>IF(O$88=1,$B$69*$B$82,0)+O89*$B$74</f>
        <v>-0.3830304854566545</v>
      </c>
      <c r="P93" s="33">
        <f>IF(P$88=1,$B$69*$B$82,0)+P89*$B$74</f>
        <v>-0.3412801625418792</v>
      </c>
      <c r="Q93" s="33">
        <f>IF(Q$88=1,$B$69*$B$82,0)+Q89*$B$74</f>
        <v>-0.30408062482481435</v>
      </c>
      <c r="R93" s="33">
        <f>IF(R$88=1,$B$69*$B$82,0)+R89*$B$74</f>
        <v>-0.2709358367189096</v>
      </c>
      <c r="S93" s="33">
        <f>IF(S$88=1,$B$69*$B$82,0)+S89*$B$74</f>
        <v>-0.24140383051654843</v>
      </c>
      <c r="T93" s="33">
        <f>IF(T$88=1,$B$69*$B$82,0)+T89*$B$74</f>
        <v>-0.21509081299024466</v>
      </c>
      <c r="U93" s="33">
        <f>IF(U$88=1,$B$69*$B$82,0)+U89*$B$74</f>
        <v>-0.191645914374308</v>
      </c>
      <c r="V93" s="33">
        <f>IF(V$88=1,$B$69*$B$82,0)+V89*$B$74</f>
        <v>-0.17075650970750844</v>
      </c>
      <c r="W93" s="33">
        <f>IF(W$88=1,$B$69*$B$82,0)+W89*$B$74</f>
        <v>-0.15214405014939</v>
      </c>
      <c r="X93" s="33">
        <f>IF(X$88=1,$B$69*$B$82,0)+X89*$B$74</f>
        <v>-0.1355603486831065</v>
      </c>
      <c r="Y93" s="33">
        <f>IF(Y$88=1,$B$69*$B$82,0)+Y89*$B$74</f>
        <v>-0.12078427067664788</v>
      </c>
      <c r="Z93" s="33">
        <f>IF(Z$88=1,$B$69*$B$82,0)+Z89*$B$74</f>
        <v>-0.10761878517289328</v>
      </c>
    </row>
    <row r="94">
      <c r="A94" s="16" t="inlineStr">
        <is>
          <t>Total contribution before CAC</t>
        </is>
      </c>
      <c r="B94" s="30">
        <f>SUM(C94:Z94)</f>
        <v>-4161.0616781352055</v>
      </c>
      <c r="C94" s="30">
        <f>SUM(C91:C93)</f>
        <v>-4200.751790800001</v>
      </c>
      <c r="D94" s="30">
        <f>SUM(D91:D93)</f>
        <v>-1.3632596999999766</v>
      </c>
      <c r="E94" s="30">
        <f>SUM(E91:E93)</f>
        <v>29.702395607300055</v>
      </c>
      <c r="F94" s="30">
        <f>SUM(F91:F93)</f>
        <v>-1.0822659738956815</v>
      </c>
      <c r="G94" s="30">
        <f>SUM(G91:G93)</f>
        <v>-0.9642989827410521</v>
      </c>
      <c r="H94" s="30">
        <f>SUM(H91:H93)</f>
        <v>-0.8591903936222774</v>
      </c>
      <c r="I94" s="30">
        <f>SUM(I91:I93)</f>
        <v>11.601285359282567</v>
      </c>
      <c r="J94" s="30">
        <f>SUM(J91:J93)</f>
        <v>-0.6820949288792474</v>
      </c>
      <c r="K94" s="30">
        <f>SUM(K91:K93)</f>
        <v>-0.6077465816314094</v>
      </c>
      <c r="L94" s="30">
        <f>SUM(L91:L93)</f>
        <v>-0.5415022042335857</v>
      </c>
      <c r="M94" s="30">
        <f>SUM(M91:M93)</f>
        <v>4.464251136027881</v>
      </c>
      <c r="N94" s="30">
        <f>SUM(N91:N93)</f>
        <v>-0.42988831139916334</v>
      </c>
      <c r="O94" s="30">
        <f>SUM(O91:O93)</f>
        <v>-0.3830304854566545</v>
      </c>
      <c r="P94" s="30">
        <f>SUM(P91:P93)</f>
        <v>-0.3412801625418792</v>
      </c>
      <c r="Q94" s="30">
        <f>SUM(Q91:Q93)</f>
        <v>1.6746112151751884</v>
      </c>
      <c r="R94" s="30">
        <f>SUM(R91:R93)</f>
        <v>-0.2709358367189096</v>
      </c>
      <c r="S94" s="30">
        <f>SUM(S91:S93)</f>
        <v>-0.24140383051654843</v>
      </c>
      <c r="T94" s="30">
        <f>SUM(T91:T93)</f>
        <v>-0.21509081299024466</v>
      </c>
      <c r="U94" s="30">
        <f>SUM(U91:U93)</f>
        <v>0.599830821625693</v>
      </c>
      <c r="V94" s="30">
        <f>SUM(V91:V93)</f>
        <v>-0.17075650970750844</v>
      </c>
      <c r="W94" s="30">
        <f>SUM(W91:W93)</f>
        <v>-0.15214405014939</v>
      </c>
      <c r="X94" s="30">
        <f>SUM(X91:X93)</f>
        <v>-0.1355603486831065</v>
      </c>
      <c r="Y94" s="30">
        <f>SUM(Y91:Y93)</f>
        <v>0.19580642372335255</v>
      </c>
      <c r="Z94" s="30">
        <f>SUM(Z91:Z93)</f>
        <v>-0.10761878517289328</v>
      </c>
    </row>
    <row r="95">
      <c r="A95" s="3" t="inlineStr">
        <is>
          <t>CAC (paid, month 1)</t>
        </is>
      </c>
      <c r="B95" s="30">
        <f>SUM(C95:Z95)</f>
        <v>-6400.0</v>
      </c>
      <c r="C95" s="33">
        <f>IF(C$88=1,-$B$66*$B$73,0)</f>
        <v>-6400.0</v>
      </c>
      <c r="D95" s="33">
        <f>IF(D$88=1,-$B$66*$B$73,0)</f>
        <v>0.0</v>
      </c>
      <c r="E95" s="33">
        <f>IF(E$88=1,-$B$66*$B$73,0)</f>
        <v>0.0</v>
      </c>
      <c r="F95" s="33">
        <f>IF(F$88=1,-$B$66*$B$73,0)</f>
        <v>0.0</v>
      </c>
      <c r="G95" s="33">
        <f>IF(G$88=1,-$B$66*$B$73,0)</f>
        <v>0.0</v>
      </c>
      <c r="H95" s="33">
        <f>IF(H$88=1,-$B$66*$B$73,0)</f>
        <v>0.0</v>
      </c>
      <c r="I95" s="33">
        <f>IF(I$88=1,-$B$66*$B$73,0)</f>
        <v>0.0</v>
      </c>
      <c r="J95" s="33">
        <f>IF(J$88=1,-$B$66*$B$73,0)</f>
        <v>0.0</v>
      </c>
      <c r="K95" s="33">
        <f>IF(K$88=1,-$B$66*$B$73,0)</f>
        <v>0.0</v>
      </c>
      <c r="L95" s="33">
        <f>IF(L$88=1,-$B$66*$B$73,0)</f>
        <v>0.0</v>
      </c>
      <c r="M95" s="33">
        <f>IF(M$88=1,-$B$66*$B$73,0)</f>
        <v>0.0</v>
      </c>
      <c r="N95" s="33">
        <f>IF(N$88=1,-$B$66*$B$73,0)</f>
        <v>0.0</v>
      </c>
      <c r="O95" s="33">
        <f>IF(O$88=1,-$B$66*$B$73,0)</f>
        <v>0.0</v>
      </c>
      <c r="P95" s="33">
        <f>IF(P$88=1,-$B$66*$B$73,0)</f>
        <v>0.0</v>
      </c>
      <c r="Q95" s="33">
        <f>IF(Q$88=1,-$B$66*$B$73,0)</f>
        <v>0.0</v>
      </c>
      <c r="R95" s="33">
        <f>IF(R$88=1,-$B$66*$B$73,0)</f>
        <v>0.0</v>
      </c>
      <c r="S95" s="33">
        <f>IF(S$88=1,-$B$66*$B$73,0)</f>
        <v>0.0</v>
      </c>
      <c r="T95" s="33">
        <f>IF(T$88=1,-$B$66*$B$73,0)</f>
        <v>0.0</v>
      </c>
      <c r="U95" s="33">
        <f>IF(U$88=1,-$B$66*$B$73,0)</f>
        <v>0.0</v>
      </c>
      <c r="V95" s="33">
        <f>IF(V$88=1,-$B$66*$B$73,0)</f>
        <v>0.0</v>
      </c>
      <c r="W95" s="33">
        <f>IF(W$88=1,-$B$66*$B$73,0)</f>
        <v>0.0</v>
      </c>
      <c r="X95" s="33">
        <f>IF(X$88=1,-$B$66*$B$73,0)</f>
        <v>0.0</v>
      </c>
      <c r="Y95" s="33">
        <f>IF(Y$88=1,-$B$66*$B$73,0)</f>
        <v>0.0</v>
      </c>
      <c r="Z95" s="33">
        <f>IF(Z$88=1,-$B$66*$B$73,0)</f>
        <v>0.0</v>
      </c>
    </row>
    <row r="96">
      <c r="A96" s="3" t="inlineStr">
        <is>
          <t>Net contribution after CAC</t>
        </is>
      </c>
      <c r="B96" s="30">
        <f>SUM(C96:Z96)</f>
        <v>-10561.061678135206</v>
      </c>
      <c r="C96" s="33">
        <f>C94+C95</f>
        <v>-10600.7517908</v>
      </c>
      <c r="D96" s="33">
        <f>D94+D95</f>
        <v>-1.3632596999999766</v>
      </c>
      <c r="E96" s="33">
        <f>E94+E95</f>
        <v>29.702395607300055</v>
      </c>
      <c r="F96" s="33">
        <f>F94+F95</f>
        <v>-1.0822659738956815</v>
      </c>
      <c r="G96" s="33">
        <f>G94+G95</f>
        <v>-0.9642989827410521</v>
      </c>
      <c r="H96" s="33">
        <f>H94+H95</f>
        <v>-0.8591903936222774</v>
      </c>
      <c r="I96" s="33">
        <f>I94+I95</f>
        <v>11.601285359282567</v>
      </c>
      <c r="J96" s="33">
        <f>J94+J95</f>
        <v>-0.6820949288792474</v>
      </c>
      <c r="K96" s="33">
        <f>K94+K95</f>
        <v>-0.6077465816314094</v>
      </c>
      <c r="L96" s="33">
        <f>L94+L95</f>
        <v>-0.5415022042335857</v>
      </c>
      <c r="M96" s="33">
        <f>M94+M95</f>
        <v>4.464251136027881</v>
      </c>
      <c r="N96" s="33">
        <f>N94+N95</f>
        <v>-0.42988831139916334</v>
      </c>
      <c r="O96" s="33">
        <f>O94+O95</f>
        <v>-0.3830304854566545</v>
      </c>
      <c r="P96" s="33">
        <f>P94+P95</f>
        <v>-0.3412801625418792</v>
      </c>
      <c r="Q96" s="33">
        <f>Q94+Q95</f>
        <v>1.6746112151751884</v>
      </c>
      <c r="R96" s="33">
        <f>R94+R95</f>
        <v>-0.2709358367189096</v>
      </c>
      <c r="S96" s="33">
        <f>S94+S95</f>
        <v>-0.24140383051654843</v>
      </c>
      <c r="T96" s="33">
        <f>T94+T95</f>
        <v>-0.21509081299024466</v>
      </c>
      <c r="U96" s="33">
        <f>U94+U95</f>
        <v>0.599830821625693</v>
      </c>
      <c r="V96" s="33">
        <f>V94+V95</f>
        <v>-0.17075650970750844</v>
      </c>
      <c r="W96" s="33">
        <f>W94+W95</f>
        <v>-0.15214405014939</v>
      </c>
      <c r="X96" s="33">
        <f>X94+X95</f>
        <v>-0.1355603486831065</v>
      </c>
      <c r="Y96" s="33">
        <f>Y94+Y95</f>
        <v>0.19580642372335255</v>
      </c>
      <c r="Z96" s="33">
        <f>Z94+Z95</f>
        <v>-0.10761878517289328</v>
      </c>
    </row>
    <row r="97">
      <c r="A97" s="16" t="inlineStr">
        <is>
          <t>CUMULATIVE contribution after CAC</t>
        </is>
      </c>
      <c r="C97" s="49">
        <f>C96</f>
        <v>-10600.7517908</v>
      </c>
      <c r="D97" s="49">
        <f>C97+D96</f>
        <v>-10602.1150505</v>
      </c>
      <c r="E97" s="49">
        <f>D97+E96</f>
        <v>-10572.4126548927</v>
      </c>
      <c r="F97" s="49">
        <f>E97+F96</f>
        <v>-10573.494920866595</v>
      </c>
      <c r="G97" s="49">
        <f>F97+G96</f>
        <v>-10574.459219849336</v>
      </c>
      <c r="H97" s="49">
        <f>G97+H96</f>
        <v>-10575.318410242959</v>
      </c>
      <c r="I97" s="49">
        <f>H97+I96</f>
        <v>-10563.717124883677</v>
      </c>
      <c r="J97" s="49">
        <f>I97+J96</f>
        <v>-10564.399219812556</v>
      </c>
      <c r="K97" s="49">
        <f>J97+K96</f>
        <v>-10565.006966394187</v>
      </c>
      <c r="L97" s="49">
        <f>K97+L96</f>
        <v>-10565.548468598421</v>
      </c>
      <c r="M97" s="49">
        <f>L97+M96</f>
        <v>-10561.084217462394</v>
      </c>
      <c r="N97" s="49">
        <f>M97+N96</f>
        <v>-10561.514105773793</v>
      </c>
      <c r="O97" s="49">
        <f>N97+O96</f>
        <v>-10561.89713625925</v>
      </c>
      <c r="P97" s="49">
        <f>O97+P96</f>
        <v>-10562.238416421791</v>
      </c>
      <c r="Q97" s="49">
        <f>P97+Q96</f>
        <v>-10560.563805206615</v>
      </c>
      <c r="R97" s="49">
        <f>Q97+R96</f>
        <v>-10560.834741043334</v>
      </c>
      <c r="S97" s="49">
        <f>R97+S96</f>
        <v>-10561.07614487385</v>
      </c>
      <c r="T97" s="49">
        <f>S97+T96</f>
        <v>-10561.29123568684</v>
      </c>
      <c r="U97" s="49">
        <f>T97+U96</f>
        <v>-10560.691404865214</v>
      </c>
      <c r="V97" s="49">
        <f>U97+V96</f>
        <v>-10560.862161374922</v>
      </c>
      <c r="W97" s="49">
        <f>V97+W96</f>
        <v>-10561.014305425071</v>
      </c>
      <c r="X97" s="49">
        <f>W97+X96</f>
        <v>-10561.149865773754</v>
      </c>
      <c r="Y97" s="49">
        <f>X97+Y96</f>
        <v>-10560.95405935003</v>
      </c>
      <c r="Z97" s="49">
        <f>Y97+Z96</f>
        <v>-10561.061678135202</v>
      </c>
    </row>
    <row r="98">
      <c r="A98" s="3" t="inlineStr">
        <is>
          <t>Cumulative contribution before CAC, per customer</t>
        </is>
      </c>
      <c r="C98" s="26">
        <f>SUM($C94:C94)/$B$66</f>
        <v>-42.00751790800001</v>
      </c>
      <c r="D98" s="26">
        <f>SUM($C94:D94)/$B$66</f>
        <v>-42.02115050500001</v>
      </c>
      <c r="E98" s="26">
        <f>SUM($C94:E94)/$B$66</f>
        <v>-41.724126548927</v>
      </c>
      <c r="F98" s="26">
        <f>SUM($C94:F94)/$B$66</f>
        <v>-41.73494920866597</v>
      </c>
      <c r="G98" s="26">
        <f>SUM($C94:G94)/$B$66</f>
        <v>-41.74459219849337</v>
      </c>
      <c r="H98" s="26">
        <f>SUM($C94:H94)/$B$66</f>
        <v>-41.75318410242959</v>
      </c>
      <c r="I98" s="26">
        <f>SUM($C94:I94)/$B$66</f>
        <v>-41.63717124883678</v>
      </c>
      <c r="J98" s="26">
        <f>SUM($C94:J94)/$B$66</f>
        <v>-41.64399219812556</v>
      </c>
      <c r="K98" s="26">
        <f>SUM($C94:K94)/$B$66</f>
        <v>-41.65006966394188</v>
      </c>
      <c r="L98" s="26">
        <f>SUM($C94:L94)/$B$66</f>
        <v>-41.65548468598421</v>
      </c>
      <c r="M98" s="26">
        <f>SUM($C94:M94)/$B$66</f>
        <v>-41.61084217462394</v>
      </c>
      <c r="N98" s="26">
        <f>SUM($C94:N94)/$B$66</f>
        <v>-41.61514105773793</v>
      </c>
      <c r="O98" s="26">
        <f>SUM($C94:O94)/$B$66</f>
        <v>-41.61897136259249</v>
      </c>
      <c r="P98" s="26">
        <f>SUM($C94:P94)/$B$66</f>
        <v>-41.62238416421791</v>
      </c>
      <c r="Q98" s="26">
        <f>SUM($C94:Q94)/$B$66</f>
        <v>-41.60563805206616</v>
      </c>
      <c r="R98" s="26">
        <f>SUM($C94:R94)/$B$66</f>
        <v>-41.60834741043335</v>
      </c>
      <c r="S98" s="26">
        <f>SUM($C94:S94)/$B$66</f>
        <v>-41.610761448738515</v>
      </c>
      <c r="T98" s="26">
        <f>SUM($C94:T94)/$B$66</f>
        <v>-41.61291235686842</v>
      </c>
      <c r="U98" s="26">
        <f>SUM($C94:U94)/$B$66</f>
        <v>-41.60691404865216</v>
      </c>
      <c r="V98" s="26">
        <f>SUM($C94:V94)/$B$66</f>
        <v>-41.608621613749236</v>
      </c>
      <c r="W98" s="26">
        <f>SUM($C94:W94)/$B$66</f>
        <v>-41.61014305425073</v>
      </c>
      <c r="X98" s="26">
        <f>SUM($C94:X94)/$B$66</f>
        <v>-41.61149865773756</v>
      </c>
      <c r="Y98" s="26">
        <f>SUM($C94:Y94)/$B$66</f>
        <v>-41.60954059350033</v>
      </c>
      <c r="Z98" s="26">
        <f>SUM($C94:Z94)/$B$66</f>
        <v>-41.61061678135206</v>
      </c>
    </row>
    <row r="99">
      <c r="A99" s="3" t="inlineStr">
        <is>
          <t>Gross revenue (reference only - NOT used for LTV)</t>
        </is>
      </c>
      <c r="B99" s="30">
        <f>SUM(C99:Z99)</f>
        <v>10084.851405384963</v>
      </c>
      <c r="C99" s="50">
        <f>IF(C$88=1,$B$66*$B$84,0)+C89*$B$85+C90*$B$86</f>
        <v>7772.528</v>
      </c>
      <c r="D99" s="50">
        <f>IF(D$88=1,$B$66*$B$84,0)+D89*$B$85+D90*$B$86</f>
        <v>203.09454</v>
      </c>
      <c r="E99" s="50">
        <f>IF(E$88=1,$B$66*$B$84,0)+E89*$B$85+E90*$B$86</f>
        <v>530.46523514</v>
      </c>
      <c r="F99" s="50">
        <f>IF(F$88=1,$B$66*$B$84,0)+F89*$B$85+F90*$B$86</f>
        <v>161.23289650974</v>
      </c>
      <c r="G99" s="50">
        <f>IF(G$88=1,$B$66*$B$84,0)+G89*$B$85+G90*$B$86</f>
        <v>143.65851079017833</v>
      </c>
      <c r="H99" s="50">
        <f>IF(H$88=1,$B$66*$B$84,0)+H89*$B$85+H90*$B$86</f>
        <v>127.99973311404891</v>
      </c>
      <c r="I99" s="50">
        <f>IF(I$88=1,$B$66*$B$84,0)+I89*$B$85+I90*$B$86</f>
        <v>253.8509622046176</v>
      </c>
      <c r="J99" s="50">
        <f>IF(J$88=1,$B$66*$B$84,0)+J89*$B$85+J90*$B$86</f>
        <v>101.61655612431427</v>
      </c>
      <c r="K99" s="50">
        <f>IF(K$88=1,$B$66*$B$84,0)+K89*$B$85+K90*$B$86</f>
        <v>90.54035150676401</v>
      </c>
      <c r="L99" s="50">
        <f>IF(L$88=1,$B$66*$B$84,0)+L89*$B$85+L90*$B$86</f>
        <v>80.67145319252674</v>
      </c>
      <c r="M99" s="50">
        <f>IF(M$88=1,$B$66*$B$84,0)+M89*$B$85+M90*$B$86</f>
        <v>127.79954479454133</v>
      </c>
      <c r="N99" s="50">
        <f>IF(N$88=1,$B$66*$B$84,0)+N89*$B$85+N90*$B$86</f>
        <v>64.04353393193632</v>
      </c>
      <c r="O99" s="50">
        <f>IF(O$88=1,$B$66*$B$84,0)+O89*$B$85+O90*$B$86</f>
        <v>57.06278873335526</v>
      </c>
      <c r="P99" s="50">
        <f>IF(P$88=1,$B$66*$B$84,0)+P89*$B$85+P90*$B$86</f>
        <v>50.842944761419545</v>
      </c>
      <c r="Q99" s="50">
        <f>IF(Q$88=1,$B$66*$B$84,0)+Q89*$B$85+Q90*$B$86</f>
        <v>67.66957578242481</v>
      </c>
      <c r="R99" s="50">
        <f>IF(R$88=1,$B$66*$B$84,0)+R89*$B$85+R90*$B$86</f>
        <v>40.36324783014051</v>
      </c>
      <c r="S99" s="50">
        <f>IF(S$88=1,$B$66*$B$84,0)+S89*$B$85+S90*$B$86</f>
        <v>35.96365381665519</v>
      </c>
      <c r="T99" s="50">
        <f>IF(T$88=1,$B$66*$B$84,0)+T89*$B$85+T90*$B$86</f>
        <v>32.04361555063978</v>
      </c>
      <c r="U99" s="50">
        <f>IF(U$88=1,$B$66*$B$84,0)+U89*$B$85+U90*$B$86</f>
        <v>37.498266255620045</v>
      </c>
      <c r="V99" s="50">
        <f>IF(V$88=1,$B$66*$B$84,0)+V89*$B$85+V90*$B$86</f>
        <v>25.43881755695746</v>
      </c>
      <c r="W99" s="50">
        <f>IF(W$88=1,$B$66*$B$84,0)+W89*$B$85+W90*$B$86</f>
        <v>22.665986443249093</v>
      </c>
      <c r="X99" s="50">
        <f>IF(X$88=1,$B$66*$B$84,0)+X89*$B$85+X90*$B$86</f>
        <v>20.195393920934944</v>
      </c>
      <c r="Y99" s="50">
        <f>IF(Y$88=1,$B$66*$B$84,0)+Y89*$B$85+Y90*$B$86</f>
        <v>21.573057903553032</v>
      </c>
      <c r="Z99" s="50">
        <f>IF(Z$88=1,$B$66*$B$84,0)+Z89*$B$85+Z90*$B$86</f>
        <v>16.032739521345754</v>
      </c>
    </row>
    <row r="100">
      <c r="A100" s="3" t="inlineStr">
        <is>
          <t>Payback helper (month if cumulative &gt;= 0, else 99)</t>
        </is>
      </c>
      <c r="C100" s="51">
        <f>IF(C97&gt;=0,C$88,99)</f>
        <v>99.0</v>
      </c>
      <c r="D100" s="51">
        <f>IF(D97&gt;=0,D$88,99)</f>
        <v>99.0</v>
      </c>
      <c r="E100" s="51">
        <f>IF(E97&gt;=0,E$88,99)</f>
        <v>99.0</v>
      </c>
      <c r="F100" s="51">
        <f>IF(F97&gt;=0,F$88,99)</f>
        <v>99.0</v>
      </c>
      <c r="G100" s="51">
        <f>IF(G97&gt;=0,G$88,99)</f>
        <v>99.0</v>
      </c>
      <c r="H100" s="51">
        <f>IF(H97&gt;=0,H$88,99)</f>
        <v>99.0</v>
      </c>
      <c r="I100" s="51">
        <f>IF(I97&gt;=0,I$88,99)</f>
        <v>99.0</v>
      </c>
      <c r="J100" s="51">
        <f>IF(J97&gt;=0,J$88,99)</f>
        <v>99.0</v>
      </c>
      <c r="K100" s="51">
        <f>IF(K97&gt;=0,K$88,99)</f>
        <v>99.0</v>
      </c>
      <c r="L100" s="51">
        <f>IF(L97&gt;=0,L$88,99)</f>
        <v>99.0</v>
      </c>
      <c r="M100" s="51">
        <f>IF(M97&gt;=0,M$88,99)</f>
        <v>99.0</v>
      </c>
      <c r="N100" s="51">
        <f>IF(N97&gt;=0,N$88,99)</f>
        <v>99.0</v>
      </c>
      <c r="O100" s="51">
        <f>IF(O97&gt;=0,O$88,99)</f>
        <v>99.0</v>
      </c>
      <c r="P100" s="51">
        <f>IF(P97&gt;=0,P$88,99)</f>
        <v>99.0</v>
      </c>
      <c r="Q100" s="51">
        <f>IF(Q97&gt;=0,Q$88,99)</f>
        <v>99.0</v>
      </c>
      <c r="R100" s="51">
        <f>IF(R97&gt;=0,R$88,99)</f>
        <v>99.0</v>
      </c>
      <c r="S100" s="51">
        <f>IF(S97&gt;=0,S$88,99)</f>
        <v>99.0</v>
      </c>
      <c r="T100" s="51">
        <f>IF(T97&gt;=0,T$88,99)</f>
        <v>99.0</v>
      </c>
      <c r="U100" s="51">
        <f>IF(U97&gt;=0,U$88,99)</f>
        <v>99.0</v>
      </c>
      <c r="V100" s="51">
        <f>IF(V97&gt;=0,V$88,99)</f>
        <v>99.0</v>
      </c>
      <c r="W100" s="51">
        <f>IF(W97&gt;=0,W$88,99)</f>
        <v>99.0</v>
      </c>
      <c r="X100" s="51">
        <f>IF(X97&gt;=0,X$88,99)</f>
        <v>99.0</v>
      </c>
      <c r="Y100" s="51">
        <f>IF(Y97&gt;=0,Y$88,99)</f>
        <v>99.0</v>
      </c>
      <c r="Z100" s="51">
        <f>IF(Z97&gt;=0,Z$88,99)</f>
        <v>99.0</v>
      </c>
    </row>
    <row r="102">
      <c r="A102" s="16" t="inlineStr">
        <is>
          <t>FIRST-ORDER contribution before ads, per customer</t>
        </is>
      </c>
      <c r="B102" s="42">
        <f>$B$72</f>
        <v>-42.00751790800001</v>
      </c>
    </row>
    <row r="103">
      <c r="A103" s="16" t="inlineStr">
        <is>
          <t>FIRST-ORDER contribution after CAC, per customer</t>
        </is>
      </c>
      <c r="B103" s="42">
        <f>$B$72-$B$73</f>
        <v>-106.00751790800001</v>
      </c>
    </row>
    <row r="104">
      <c r="A104" s="16" t="inlineStr">
        <is>
          <t>Is the first order profitable after CAC?</t>
        </is>
      </c>
      <c r="B104" s="52" t="str">
        <f>IF(B103&gt;=0,"YES - first order covers CAC","NO - first order loses money after CAC")</f>
        <v>NO - first order loses money after CAC</v>
      </c>
    </row>
    <row r="105">
      <c r="A105" s="3" t="inlineStr">
        <is>
          <t>Payback month (numeric; 99 = none within 24 months)</t>
        </is>
      </c>
      <c r="B105" s="41">
        <f>MIN(C100:Z100)</f>
        <v>99.0</v>
      </c>
    </row>
    <row r="106">
      <c r="A106" s="16" t="inlineStr">
        <is>
          <t>Payback (display)</t>
        </is>
      </c>
      <c r="B106" s="52" t="str">
        <f>IF(B105&gt;24,"No payback within 24 months","Month "&amp;B105)</f>
        <v>No payback within 24 months</v>
      </c>
    </row>
    <row r="107">
      <c r="A107" s="16" t="inlineStr">
        <is>
          <t>12-month contribution LTV per customer (before CAC)</t>
        </is>
      </c>
      <c r="B107" s="42">
        <f>SUM(C94:N94)/$B$66</f>
        <v>-41.61514105773793</v>
      </c>
    </row>
    <row r="108">
      <c r="A108" s="16" t="inlineStr">
        <is>
          <t>24-month contribution LTV per customer (before CAC)</t>
        </is>
      </c>
      <c r="B108" s="42">
        <f>SUM(C94:Z94)/$B$66</f>
        <v>-41.61061678135206</v>
      </c>
    </row>
    <row r="109">
      <c r="A109" s="16" t="inlineStr">
        <is>
          <t>12-month contribution LTV net of CAC</t>
        </is>
      </c>
      <c r="B109" s="42">
        <f>B107-$B$73</f>
        <v>-105.61514105773793</v>
      </c>
    </row>
    <row r="110">
      <c r="A110" s="3" t="inlineStr">
        <is>
          <t>24-month contribution LTV net of CAC</t>
        </is>
      </c>
      <c r="B110" s="26">
        <f>B108-$B$73</f>
        <v>-105.61061678135206</v>
      </c>
    </row>
    <row r="111">
      <c r="A111" s="16" t="inlineStr">
        <is>
          <t>12-month LTV:CAC (contribution basis)</t>
        </is>
      </c>
      <c r="B111" s="53">
        <f>IFERROR(B107/$B$73,0)</f>
        <v>-0.6502365790271551</v>
      </c>
    </row>
    <row r="112">
      <c r="A112" s="3" t="inlineStr">
        <is>
          <t>24-month LTV:CAC</t>
        </is>
      </c>
      <c r="B112" s="37">
        <f>IFERROR(B108/$B$73,0)</f>
        <v>-0.6501658872086259</v>
      </c>
    </row>
    <row r="113">
      <c r="A113" s="3" t="inlineStr">
        <is>
          <t>12-month LTV : blended CAC (info only)</t>
        </is>
      </c>
      <c r="B113" s="37">
        <f>IFERROR(B107/($B$73*Inputs!$D$121),0)</f>
        <v>-0.6844595568706897</v>
      </c>
    </row>
    <row r="114">
      <c r="A114" s="3" t="inlineStr">
        <is>
          <t>Cohort contribution from subscription renewals, months 1-24</t>
        </is>
      </c>
      <c r="B114" s="33">
        <f>B89*$B$74</f>
        <v>-11.627260205604852</v>
      </c>
    </row>
    <row r="115">
      <c r="A115" s="3" t="inlineStr">
        <is>
          <t>Renewal contribution per subscriber, 12 months</t>
        </is>
      </c>
      <c r="B115" s="26">
        <f>IFERROR(SUM(C89:N89)*$B$74/$B$69,0)</f>
        <v>-1.1241160717239933</v>
      </c>
    </row>
    <row r="116">
      <c r="A116" s="3" t="inlineStr">
        <is>
          <t>Repeat contribution per occasional buyer, 12 months</t>
        </is>
      </c>
      <c r="B116" s="26">
        <f>IFERROR(SUM(C90:N90)*$B$75/$B$70,0)</f>
        <v>5.242458000000005</v>
      </c>
    </row>
    <row r="117">
      <c r="A117" s="3" t="inlineStr">
        <is>
          <t>Orders per acquired customer, 12 months</t>
        </is>
      </c>
      <c r="B117" s="11">
        <f>($B$66+SUM(C89:N89)+SUM(C90:N90))/$B$66</f>
        <v>1.5353602027751945</v>
      </c>
    </row>
    <row r="118">
      <c r="A118" s="3" t="inlineStr">
        <is>
          <t>Renewal contribution per subscriber, 24 months</t>
        </is>
      </c>
      <c r="B118" s="26">
        <f>IFERROR(SUM(C89:Z89)*$B$74/$B$69,0)</f>
        <v>-1.4534075257006065</v>
      </c>
    </row>
    <row r="119">
      <c r="A119" s="3" t="inlineStr">
        <is>
          <t>Repeat contribution per occasional buyer, 24 months</t>
        </is>
      </c>
      <c r="B119" s="26">
        <f>IFERROR(SUM(C90:Z90)*$B$75/$B$70,0)</f>
        <v>5.577975312000007</v>
      </c>
    </row>
    <row r="122">
      <c r="A122" s="43" t="inlineStr">
        <is>
          <t>Engine cohort: BASE (engine)</t>
        </is>
      </c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</row>
    <row r="124">
      <c r="A124" s="3" t="inlineStr">
        <is>
          <t>Customers acquired (N)</t>
        </is>
      </c>
      <c r="B124" s="12">
        <f>Inputs!$E$9</f>
        <v>100.0</v>
      </c>
    </row>
    <row r="125">
      <c r="A125" s="3" t="inlineStr">
        <is>
          <t>Subscription attach (after any shock)</t>
        </is>
      </c>
      <c r="B125" s="34">
        <f>MIN(1,Inputs!$E$144*Espresso_UnitEcon!$N$10)</f>
        <v>0.15</v>
      </c>
    </row>
    <row r="126">
      <c r="A126" s="3" t="inlineStr">
        <is>
          <t>Non-subscriber 12-month repeat rate</t>
        </is>
      </c>
      <c r="B126" s="45">
        <f>Inputs!$E$147</f>
        <v>0.15</v>
      </c>
    </row>
    <row r="127">
      <c r="A127" s="3" t="inlineStr">
        <is>
          <t>Segment: subscribers</t>
        </is>
      </c>
      <c r="B127" s="46">
        <f>$B$124*$B$125</f>
        <v>15.0</v>
      </c>
    </row>
    <row r="128">
      <c r="A128" s="3" t="inlineStr">
        <is>
          <t>Segment: occasional repeat buyers</t>
        </is>
      </c>
      <c r="B128" s="46">
        <f>$B$124*(1-$B$125)*$B$126</f>
        <v>12.75</v>
      </c>
    </row>
    <row r="129">
      <c r="A129" s="3" t="inlineStr">
        <is>
          <t>Segment: one-time only</t>
        </is>
      </c>
      <c r="B129" s="46">
        <f>$B$124-$B$127-$B$128</f>
        <v>72.25</v>
      </c>
    </row>
    <row r="130">
      <c r="A130" s="3" t="inlineStr">
        <is>
          <t>First-order contribution before ads, per customer (mix)</t>
        </is>
      </c>
      <c r="B130" s="39">
        <f>Espresso_UnitEcon!$N$57</f>
        <v>21.1081253</v>
      </c>
    </row>
    <row r="131">
      <c r="A131" s="3" t="inlineStr">
        <is>
          <t>Paid CAC per new customer</t>
        </is>
      </c>
      <c r="B131" s="39">
        <f>Espresso_UnitEcon!$N$60</f>
        <v>45.0</v>
      </c>
    </row>
    <row r="132">
      <c r="A132" s="3" t="inlineStr">
        <is>
          <t>Contribution per subscription renewal order</t>
        </is>
      </c>
      <c r="B132" s="39">
        <f>Espresso_UnitEcon!$Q$50</f>
        <v>4.384378000000002</v>
      </c>
    </row>
    <row r="133">
      <c r="A133" s="3" t="inlineStr">
        <is>
          <t>Contribution per occasional repeat order</t>
        </is>
      </c>
      <c r="B133" s="39">
        <f>Espresso_UnitEcon!$R$50</f>
        <v>8.215419999999998</v>
      </c>
    </row>
    <row r="134">
      <c r="A134" s="3" t="inlineStr">
        <is>
          <t>First-month drop (incl. involuntary)</t>
        </is>
      </c>
      <c r="B134" s="34">
        <f>1-(1-MIN(1,Inputs!$E$145*Espresso_UnitEcon!$N$11))*(1-MIN(1,Inputs!$E$137*Espresso_UnitEcon!$N$11))</f>
        <v>0.1857399999999999</v>
      </c>
    </row>
    <row r="135">
      <c r="A135" s="3" t="inlineStr">
        <is>
          <t>Monthly churn after month 2 (incl. involuntary)</t>
        </is>
      </c>
      <c r="B135" s="34">
        <f>1-(1-MIN(1,Inputs!$E$146*Espresso_UnitEcon!$N$11))*(1-MIN(1,Inputs!$E$137*Espresso_UnitEcon!$N$11))</f>
        <v>0.07651000000000008</v>
      </c>
    </row>
    <row r="136">
      <c r="A136" s="3" t="inlineStr">
        <is>
          <t>Renewal cadence (months)</t>
        </is>
      </c>
      <c r="B136" s="41" t="n">
        <v>1</v>
      </c>
    </row>
    <row r="137">
      <c r="A137" s="3" t="inlineStr">
        <is>
          <t>Occasional: month of first repeat</t>
        </is>
      </c>
      <c r="B137" s="12">
        <f>Inputs!$E$148</f>
        <v>2.0</v>
      </c>
    </row>
    <row r="138">
      <c r="A138" s="3" t="inlineStr">
        <is>
          <t>Occasional: months between orders</t>
        </is>
      </c>
      <c r="B138" s="12">
        <f>Inputs!$E$149</f>
        <v>3.0</v>
      </c>
    </row>
    <row r="139">
      <c r="A139" s="3" t="inlineStr">
        <is>
          <t>Occasional: probability of each further order</t>
        </is>
      </c>
      <c r="B139" s="45">
        <f>Inputs!$E$150</f>
        <v>0.5</v>
      </c>
    </row>
    <row r="140">
      <c r="A140" s="3" t="inlineStr">
        <is>
          <t>First-order contribution - subscriber</t>
        </is>
      </c>
      <c r="B140" s="39">
        <f>Espresso_UnitEcon!$N$63</f>
        <v>24.944542499999997</v>
      </c>
    </row>
    <row r="141">
      <c r="A141" s="3" t="inlineStr">
        <is>
          <t>First-order contribution - non-subscriber</t>
        </is>
      </c>
      <c r="B141" s="39">
        <f>Espresso_UnitEcon!$N$64</f>
        <v>20.431110500000003</v>
      </c>
    </row>
    <row r="142">
      <c r="A142" s="3" t="inlineStr">
        <is>
          <t>First-order gross revenue (mix) - reference</t>
        </is>
      </c>
      <c r="B142" s="39">
        <f>Espresso_UnitEcon!$N$59</f>
        <v>90.38864999999998</v>
      </c>
    </row>
    <row r="143">
      <c r="A143" s="3" t="inlineStr">
        <is>
          <t>Renewal order gross revenue - reference</t>
        </is>
      </c>
      <c r="B143" s="39">
        <f>Espresso_UnitEcon!$Q$35</f>
        <v>35.991</v>
      </c>
    </row>
    <row r="144">
      <c r="A144" s="3" t="inlineStr">
        <is>
          <t>Occasional order gross revenue - reference</t>
        </is>
      </c>
      <c r="B144" s="39">
        <f>Espresso_UnitEcon!$R$35</f>
        <v>39.99</v>
      </c>
    </row>
    <row r="146">
      <c r="A146" s="4" t="inlineStr">
        <is>
          <t>Month</t>
        </is>
      </c>
      <c r="B146" s="4" t="inlineStr">
        <is>
          <t>Total 1-24</t>
        </is>
      </c>
      <c r="C146" s="47" t="n">
        <v>1</v>
      </c>
      <c r="D146" s="47" t="n">
        <v>2</v>
      </c>
      <c r="E146" s="47" t="n">
        <v>3</v>
      </c>
      <c r="F146" s="47" t="n">
        <v>4</v>
      </c>
      <c r="G146" s="47" t="n">
        <v>5</v>
      </c>
      <c r="H146" s="47" t="n">
        <v>6</v>
      </c>
      <c r="I146" s="47" t="n">
        <v>7</v>
      </c>
      <c r="J146" s="47" t="n">
        <v>8</v>
      </c>
      <c r="K146" s="47" t="n">
        <v>9</v>
      </c>
      <c r="L146" s="47" t="n">
        <v>10</v>
      </c>
      <c r="M146" s="47" t="n">
        <v>11</v>
      </c>
      <c r="N146" s="47" t="n">
        <v>12</v>
      </c>
      <c r="O146" s="47" t="n">
        <v>13</v>
      </c>
      <c r="P146" s="47" t="n">
        <v>14</v>
      </c>
      <c r="Q146" s="47" t="n">
        <v>15</v>
      </c>
      <c r="R146" s="47" t="n">
        <v>16</v>
      </c>
      <c r="S146" s="47" t="n">
        <v>17</v>
      </c>
      <c r="T146" s="47" t="n">
        <v>18</v>
      </c>
      <c r="U146" s="47" t="n">
        <v>19</v>
      </c>
      <c r="V146" s="47" t="n">
        <v>20</v>
      </c>
      <c r="W146" s="47" t="n">
        <v>21</v>
      </c>
      <c r="X146" s="47" t="n">
        <v>22</v>
      </c>
      <c r="Y146" s="47" t="n">
        <v>23</v>
      </c>
      <c r="Z146" s="47" t="n">
        <v>24</v>
      </c>
    </row>
    <row r="147">
      <c r="A147" s="3" t="inlineStr">
        <is>
          <t>Subscription renewal orders (paying subscribers)</t>
        </is>
      </c>
      <c r="B147" s="48">
        <f>SUM(C147:Z147)</f>
        <v>134.0475784632772</v>
      </c>
      <c r="C147" s="46">
        <f>IF(C$146&gt;=2,$B$127*(1-$B$134)*(1-$B$135)^(C$146-2),0)</f>
        <v>0.0</v>
      </c>
      <c r="D147" s="46">
        <f>IF(D$146&gt;=2,$B$127*(1-$B$134)*(1-$B$135)^(D$146-2),0)</f>
        <v>12.2139</v>
      </c>
      <c r="E147" s="46">
        <f>IF(E$146&gt;=2,$B$127*(1-$B$134)*(1-$B$135)^(E$146-2),0)</f>
        <v>11.279414510999999</v>
      </c>
      <c r="F147" s="46">
        <f>IF(F$146&gt;=2,$B$127*(1-$B$134)*(1-$B$135)^(F$146-2),0)</f>
        <v>10.41642650676339</v>
      </c>
      <c r="G147" s="46">
        <f>IF(G$146&gt;=2,$B$127*(1-$B$134)*(1-$B$135)^(G$146-2),0)</f>
        <v>9.619465714730921</v>
      </c>
      <c r="H147" s="46">
        <f>IF(H$146&gt;=2,$B$127*(1-$B$134)*(1-$B$135)^(H$146-2),0)</f>
        <v>8.883480392896859</v>
      </c>
      <c r="I147" s="46">
        <f>IF(I$146&gt;=2,$B$127*(1-$B$134)*(1-$B$135)^(I$146-2),0)</f>
        <v>8.203805308036317</v>
      </c>
      <c r="J147" s="46">
        <f>IF(J$146&gt;=2,$B$127*(1-$B$134)*(1-$B$135)^(J$146-2),0)</f>
        <v>7.57613216391846</v>
      </c>
      <c r="K147" s="46">
        <f>IF(K$146&gt;=2,$B$127*(1-$B$134)*(1-$B$135)^(K$146-2),0)</f>
        <v>6.996482292057057</v>
      </c>
      <c r="L147" s="46">
        <f>IF(L$146&gt;=2,$B$127*(1-$B$134)*(1-$B$135)^(L$146-2),0)</f>
        <v>6.461181431891772</v>
      </c>
      <c r="M147" s="46">
        <f>IF(M$146&gt;=2,$B$127*(1-$B$134)*(1-$B$135)^(M$146-2),0)</f>
        <v>5.966836440537731</v>
      </c>
      <c r="N147" s="46">
        <f>IF(N$146&gt;=2,$B$127*(1-$B$134)*(1-$B$135)^(N$146-2),0)</f>
        <v>5.510313784472189</v>
      </c>
      <c r="O147" s="46">
        <f>IF(O$146&gt;=2,$B$127*(1-$B$134)*(1-$B$135)^(O$146-2),0)</f>
        <v>5.088719676822222</v>
      </c>
      <c r="P147" s="46">
        <f>IF(P$146&gt;=2,$B$127*(1-$B$134)*(1-$B$135)^(P$146-2),0)</f>
        <v>4.699381734348552</v>
      </c>
      <c r="Q147" s="46">
        <f>IF(Q$146&gt;=2,$B$127*(1-$B$134)*(1-$B$135)^(Q$146-2),0)</f>
        <v>4.339832037853545</v>
      </c>
      <c r="R147" s="46">
        <f>IF(R$146&gt;=2,$B$127*(1-$B$134)*(1-$B$135)^(R$146-2),0)</f>
        <v>4.00779148863737</v>
      </c>
      <c r="S147" s="46">
        <f>IF(S$146&gt;=2,$B$127*(1-$B$134)*(1-$B$135)^(S$146-2),0)</f>
        <v>3.7011553618417246</v>
      </c>
      <c r="T147" s="46">
        <f>IF(T$146&gt;=2,$B$127*(1-$B$134)*(1-$B$135)^(T$146-2),0)</f>
        <v>3.417979965107213</v>
      </c>
      <c r="U147" s="46">
        <f>IF(U$146&gt;=2,$B$127*(1-$B$134)*(1-$B$135)^(U$146-2),0)</f>
        <v>3.1564703179768605</v>
      </c>
      <c r="V147" s="46">
        <f>IF(V$146&gt;=2,$B$127*(1-$B$134)*(1-$B$135)^(V$146-2),0)</f>
        <v>2.9149687739484507</v>
      </c>
      <c r="W147" s="46">
        <f>IF(W$146&gt;=2,$B$127*(1-$B$134)*(1-$B$135)^(W$146-2),0)</f>
        <v>2.691944513053654</v>
      </c>
      <c r="X147" s="46">
        <f>IF(X$146&gt;=2,$B$127*(1-$B$134)*(1-$B$135)^(X$146-2),0)</f>
        <v>2.485983838359919</v>
      </c>
      <c r="Y147" s="46">
        <f>IF(Y$146&gt;=2,$B$127*(1-$B$134)*(1-$B$135)^(Y$146-2),0)</f>
        <v>2.2957812148870014</v>
      </c>
      <c r="Z147" s="46">
        <f>IF(Z$146&gt;=2,$B$127*(1-$B$134)*(1-$B$135)^(Z$146-2),0)</f>
        <v>2.1201309941359967</v>
      </c>
    </row>
    <row r="148">
      <c r="A148" s="3" t="inlineStr">
        <is>
          <t>Occasional repeat orders</t>
        </is>
      </c>
      <c r="B148" s="48">
        <f>SUM(C148:Z148)</f>
        <v>25.400390625</v>
      </c>
      <c r="C148" s="46">
        <f>IF(AND(C$146&gt;=$B$137,MOD(C$146-$B$137,$B$138)=0),$B$128*$B$139^((C$146-$B$137)/$B$138),0)</f>
        <v>0.0</v>
      </c>
      <c r="D148" s="46">
        <f>IF(AND(D$146&gt;=$B$137,MOD(D$146-$B$137,$B$138)=0),$B$128*$B$139^((D$146-$B$137)/$B$138),0)</f>
        <v>12.75</v>
      </c>
      <c r="E148" s="46">
        <f>IF(AND(E$146&gt;=$B$137,MOD(E$146-$B$137,$B$138)=0),$B$128*$B$139^((E$146-$B$137)/$B$138),0)</f>
        <v>0.0</v>
      </c>
      <c r="F148" s="46">
        <f>IF(AND(F$146&gt;=$B$137,MOD(F$146-$B$137,$B$138)=0),$B$128*$B$139^((F$146-$B$137)/$B$138),0)</f>
        <v>0.0</v>
      </c>
      <c r="G148" s="46">
        <f>IF(AND(G$146&gt;=$B$137,MOD(G$146-$B$137,$B$138)=0),$B$128*$B$139^((G$146-$B$137)/$B$138),0)</f>
        <v>6.375</v>
      </c>
      <c r="H148" s="46">
        <f>IF(AND(H$146&gt;=$B$137,MOD(H$146-$B$137,$B$138)=0),$B$128*$B$139^((H$146-$B$137)/$B$138),0)</f>
        <v>0.0</v>
      </c>
      <c r="I148" s="46">
        <f>IF(AND(I$146&gt;=$B$137,MOD(I$146-$B$137,$B$138)=0),$B$128*$B$139^((I$146-$B$137)/$B$138),0)</f>
        <v>0.0</v>
      </c>
      <c r="J148" s="46">
        <f>IF(AND(J$146&gt;=$B$137,MOD(J$146-$B$137,$B$138)=0),$B$128*$B$139^((J$146-$B$137)/$B$138),0)</f>
        <v>3.1875</v>
      </c>
      <c r="K148" s="46">
        <f>IF(AND(K$146&gt;=$B$137,MOD(K$146-$B$137,$B$138)=0),$B$128*$B$139^((K$146-$B$137)/$B$138),0)</f>
        <v>0.0</v>
      </c>
      <c r="L148" s="46">
        <f>IF(AND(L$146&gt;=$B$137,MOD(L$146-$B$137,$B$138)=0),$B$128*$B$139^((L$146-$B$137)/$B$138),0)</f>
        <v>0.0</v>
      </c>
      <c r="M148" s="46">
        <f>IF(AND(M$146&gt;=$B$137,MOD(M$146-$B$137,$B$138)=0),$B$128*$B$139^((M$146-$B$137)/$B$138),0)</f>
        <v>1.59375</v>
      </c>
      <c r="N148" s="46">
        <f>IF(AND(N$146&gt;=$B$137,MOD(N$146-$B$137,$B$138)=0),$B$128*$B$139^((N$146-$B$137)/$B$138),0)</f>
        <v>0.0</v>
      </c>
      <c r="O148" s="46">
        <f>IF(AND(O$146&gt;=$B$137,MOD(O$146-$B$137,$B$138)=0),$B$128*$B$139^((O$146-$B$137)/$B$138),0)</f>
        <v>0.0</v>
      </c>
      <c r="P148" s="46">
        <f>IF(AND(P$146&gt;=$B$137,MOD(P$146-$B$137,$B$138)=0),$B$128*$B$139^((P$146-$B$137)/$B$138),0)</f>
        <v>0.796875</v>
      </c>
      <c r="Q148" s="46">
        <f>IF(AND(Q$146&gt;=$B$137,MOD(Q$146-$B$137,$B$138)=0),$B$128*$B$139^((Q$146-$B$137)/$B$138),0)</f>
        <v>0.0</v>
      </c>
      <c r="R148" s="46">
        <f>IF(AND(R$146&gt;=$B$137,MOD(R$146-$B$137,$B$138)=0),$B$128*$B$139^((R$146-$B$137)/$B$138),0)</f>
        <v>0.0</v>
      </c>
      <c r="S148" s="46">
        <f>IF(AND(S$146&gt;=$B$137,MOD(S$146-$B$137,$B$138)=0),$B$128*$B$139^((S$146-$B$137)/$B$138),0)</f>
        <v>0.3984375</v>
      </c>
      <c r="T148" s="46">
        <f>IF(AND(T$146&gt;=$B$137,MOD(T$146-$B$137,$B$138)=0),$B$128*$B$139^((T$146-$B$137)/$B$138),0)</f>
        <v>0.0</v>
      </c>
      <c r="U148" s="46">
        <f>IF(AND(U$146&gt;=$B$137,MOD(U$146-$B$137,$B$138)=0),$B$128*$B$139^((U$146-$B$137)/$B$138),0)</f>
        <v>0.0</v>
      </c>
      <c r="V148" s="46">
        <f>IF(AND(V$146&gt;=$B$137,MOD(V$146-$B$137,$B$138)=0),$B$128*$B$139^((V$146-$B$137)/$B$138),0)</f>
        <v>0.19921875</v>
      </c>
      <c r="W148" s="46">
        <f>IF(AND(W$146&gt;=$B$137,MOD(W$146-$B$137,$B$138)=0),$B$128*$B$139^((W$146-$B$137)/$B$138),0)</f>
        <v>0.0</v>
      </c>
      <c r="X148" s="46">
        <f>IF(AND(X$146&gt;=$B$137,MOD(X$146-$B$137,$B$138)=0),$B$128*$B$139^((X$146-$B$137)/$B$138),0)</f>
        <v>0.0</v>
      </c>
      <c r="Y148" s="46">
        <f>IF(AND(Y$146&gt;=$B$137,MOD(Y$146-$B$137,$B$138)=0),$B$128*$B$139^((Y$146-$B$137)/$B$138),0)</f>
        <v>0.099609375</v>
      </c>
      <c r="Z148" s="46">
        <f>IF(AND(Z$146&gt;=$B$137,MOD(Z$146-$B$137,$B$138)=0),$B$128*$B$139^((Z$146-$B$137)/$B$138),0)</f>
        <v>0.0</v>
      </c>
    </row>
    <row r="149">
      <c r="A149" s="3" t="inlineStr">
        <is>
          <t>Contribution - one-time-only segment</t>
        </is>
      </c>
      <c r="B149" s="30">
        <f>SUM(C149:Z149)</f>
        <v>1476.1477336250002</v>
      </c>
      <c r="C149" s="33">
        <f>IF(C$146=1,$B$129*$B$141,0)</f>
        <v>1476.1477336250002</v>
      </c>
      <c r="D149" s="33">
        <f>IF(D$146=1,$B$129*$B$141,0)</f>
        <v>0.0</v>
      </c>
      <c r="E149" s="33">
        <f>IF(E$146=1,$B$129*$B$141,0)</f>
        <v>0.0</v>
      </c>
      <c r="F149" s="33">
        <f>IF(F$146=1,$B$129*$B$141,0)</f>
        <v>0.0</v>
      </c>
      <c r="G149" s="33">
        <f>IF(G$146=1,$B$129*$B$141,0)</f>
        <v>0.0</v>
      </c>
      <c r="H149" s="33">
        <f>IF(H$146=1,$B$129*$B$141,0)</f>
        <v>0.0</v>
      </c>
      <c r="I149" s="33">
        <f>IF(I$146=1,$B$129*$B$141,0)</f>
        <v>0.0</v>
      </c>
      <c r="J149" s="33">
        <f>IF(J$146=1,$B$129*$B$141,0)</f>
        <v>0.0</v>
      </c>
      <c r="K149" s="33">
        <f>IF(K$146=1,$B$129*$B$141,0)</f>
        <v>0.0</v>
      </c>
      <c r="L149" s="33">
        <f>IF(L$146=1,$B$129*$B$141,0)</f>
        <v>0.0</v>
      </c>
      <c r="M149" s="33">
        <f>IF(M$146=1,$B$129*$B$141,0)</f>
        <v>0.0</v>
      </c>
      <c r="N149" s="33">
        <f>IF(N$146=1,$B$129*$B$141,0)</f>
        <v>0.0</v>
      </c>
      <c r="O149" s="33">
        <f>IF(O$146=1,$B$129*$B$141,0)</f>
        <v>0.0</v>
      </c>
      <c r="P149" s="33">
        <f>IF(P$146=1,$B$129*$B$141,0)</f>
        <v>0.0</v>
      </c>
      <c r="Q149" s="33">
        <f>IF(Q$146=1,$B$129*$B$141,0)</f>
        <v>0.0</v>
      </c>
      <c r="R149" s="33">
        <f>IF(R$146=1,$B$129*$B$141,0)</f>
        <v>0.0</v>
      </c>
      <c r="S149" s="33">
        <f>IF(S$146=1,$B$129*$B$141,0)</f>
        <v>0.0</v>
      </c>
      <c r="T149" s="33">
        <f>IF(T$146=1,$B$129*$B$141,0)</f>
        <v>0.0</v>
      </c>
      <c r="U149" s="33">
        <f>IF(U$146=1,$B$129*$B$141,0)</f>
        <v>0.0</v>
      </c>
      <c r="V149" s="33">
        <f>IF(V$146=1,$B$129*$B$141,0)</f>
        <v>0.0</v>
      </c>
      <c r="W149" s="33">
        <f>IF(W$146=1,$B$129*$B$141,0)</f>
        <v>0.0</v>
      </c>
      <c r="X149" s="33">
        <f>IF(X$146=1,$B$129*$B$141,0)</f>
        <v>0.0</v>
      </c>
      <c r="Y149" s="33">
        <f>IF(Y$146=1,$B$129*$B$141,0)</f>
        <v>0.0</v>
      </c>
      <c r="Z149" s="33">
        <f>IF(Z$146=1,$B$129*$B$141,0)</f>
        <v>0.0</v>
      </c>
    </row>
    <row r="150">
      <c r="A150" s="3" t="inlineStr">
        <is>
          <t>Contribution - occasional repeat segment</t>
        </is>
      </c>
      <c r="B150" s="30">
        <f>SUM(C150:Z150)</f>
        <v>469.1715360234375</v>
      </c>
      <c r="C150" s="33">
        <f>IF(C$146=1,$B$128*$B$141,0)+C148*$B$133</f>
        <v>260.49665887500004</v>
      </c>
      <c r="D150" s="33">
        <f>IF(D$146=1,$B$128*$B$141,0)+D148*$B$133</f>
        <v>104.74660499999997</v>
      </c>
      <c r="E150" s="33">
        <f>IF(E$146=1,$B$128*$B$141,0)+E148*$B$133</f>
        <v>0.0</v>
      </c>
      <c r="F150" s="33">
        <f>IF(F$146=1,$B$128*$B$141,0)+F148*$B$133</f>
        <v>0.0</v>
      </c>
      <c r="G150" s="33">
        <f>IF(G$146=1,$B$128*$B$141,0)+G148*$B$133</f>
        <v>52.37330249999999</v>
      </c>
      <c r="H150" s="33">
        <f>IF(H$146=1,$B$128*$B$141,0)+H148*$B$133</f>
        <v>0.0</v>
      </c>
      <c r="I150" s="33">
        <f>IF(I$146=1,$B$128*$B$141,0)+I148*$B$133</f>
        <v>0.0</v>
      </c>
      <c r="J150" s="33">
        <f>IF(J$146=1,$B$128*$B$141,0)+J148*$B$133</f>
        <v>26.186651249999993</v>
      </c>
      <c r="K150" s="33">
        <f>IF(K$146=1,$B$128*$B$141,0)+K148*$B$133</f>
        <v>0.0</v>
      </c>
      <c r="L150" s="33">
        <f>IF(L$146=1,$B$128*$B$141,0)+L148*$B$133</f>
        <v>0.0</v>
      </c>
      <c r="M150" s="33">
        <f>IF(M$146=1,$B$128*$B$141,0)+M148*$B$133</f>
        <v>13.093325624999997</v>
      </c>
      <c r="N150" s="33">
        <f>IF(N$146=1,$B$128*$B$141,0)+N148*$B$133</f>
        <v>0.0</v>
      </c>
      <c r="O150" s="33">
        <f>IF(O$146=1,$B$128*$B$141,0)+O148*$B$133</f>
        <v>0.0</v>
      </c>
      <c r="P150" s="33">
        <f>IF(P$146=1,$B$128*$B$141,0)+P148*$B$133</f>
        <v>6.546662812499998</v>
      </c>
      <c r="Q150" s="33">
        <f>IF(Q$146=1,$B$128*$B$141,0)+Q148*$B$133</f>
        <v>0.0</v>
      </c>
      <c r="R150" s="33">
        <f>IF(R$146=1,$B$128*$B$141,0)+R148*$B$133</f>
        <v>0.0</v>
      </c>
      <c r="S150" s="33">
        <f>IF(S$146=1,$B$128*$B$141,0)+S148*$B$133</f>
        <v>3.273331406249999</v>
      </c>
      <c r="T150" s="33">
        <f>IF(T$146=1,$B$128*$B$141,0)+T148*$B$133</f>
        <v>0.0</v>
      </c>
      <c r="U150" s="33">
        <f>IF(U$146=1,$B$128*$B$141,0)+U148*$B$133</f>
        <v>0.0</v>
      </c>
      <c r="V150" s="33">
        <f>IF(V$146=1,$B$128*$B$141,0)+V148*$B$133</f>
        <v>1.6366657031249996</v>
      </c>
      <c r="W150" s="33">
        <f>IF(W$146=1,$B$128*$B$141,0)+W148*$B$133</f>
        <v>0.0</v>
      </c>
      <c r="X150" s="33">
        <f>IF(X$146=1,$B$128*$B$141,0)+X148*$B$133</f>
        <v>0.0</v>
      </c>
      <c r="Y150" s="33">
        <f>IF(Y$146=1,$B$128*$B$141,0)+Y148*$B$133</f>
        <v>0.8183328515624998</v>
      </c>
      <c r="Z150" s="33">
        <f>IF(Z$146=1,$B$128*$B$141,0)+Z148*$B$133</f>
        <v>0.0</v>
      </c>
    </row>
    <row r="151">
      <c r="A151" s="3" t="inlineStr">
        <is>
          <t>Contribution - subscriber segment</t>
        </is>
      </c>
      <c r="B151" s="30">
        <f>SUM(C151:Z151)</f>
        <v>961.8833914676666</v>
      </c>
      <c r="C151" s="33">
        <f>IF(C$146=1,$B$127*$B$140,0)+C147*$B$132</f>
        <v>374.16813749999994</v>
      </c>
      <c r="D151" s="33">
        <f>IF(D$146=1,$B$127*$B$140,0)+D147*$B$132</f>
        <v>53.550354454200026</v>
      </c>
      <c r="E151" s="33">
        <f>IF(E$146=1,$B$127*$B$140,0)+E147*$B$132</f>
        <v>49.45321683490917</v>
      </c>
      <c r="F151" s="33">
        <f>IF(F$146=1,$B$127*$B$140,0)+F147*$B$132</f>
        <v>45.669551214870275</v>
      </c>
      <c r="G151" s="33">
        <f>IF(G$146=1,$B$127*$B$140,0)+G147*$B$132</f>
        <v>42.175373851420545</v>
      </c>
      <c r="H151" s="33">
        <f>IF(H$146=1,$B$127*$B$140,0)+H147*$B$132</f>
        <v>38.94853599804836</v>
      </c>
      <c r="I151" s="33">
        <f>IF(I$146=1,$B$127*$B$140,0)+I147*$B$132</f>
        <v>35.96858350883767</v>
      </c>
      <c r="J151" s="33">
        <f>IF(J$146=1,$B$127*$B$140,0)+J147*$B$132</f>
        <v>33.2166271845765</v>
      </c>
      <c r="K151" s="33">
        <f>IF(K$146=1,$B$127*$B$140,0)+K147*$B$132</f>
        <v>30.675223038684546</v>
      </c>
      <c r="L151" s="33">
        <f>IF(L$146=1,$B$127*$B$140,0)+L147*$B$132</f>
        <v>28.328261723994792</v>
      </c>
      <c r="M151" s="33">
        <f>IF(M$146=1,$B$127*$B$140,0)+M147*$B$132</f>
        <v>26.16086641949195</v>
      </c>
      <c r="N151" s="33">
        <f>IF(N$146=1,$B$127*$B$140,0)+N147*$B$132</f>
        <v>24.159298529736613</v>
      </c>
      <c r="O151" s="33">
        <f>IF(O$146=1,$B$127*$B$140,0)+O147*$B$132</f>
        <v>22.310870599226465</v>
      </c>
      <c r="P151" s="33">
        <f>IF(P$146=1,$B$127*$B$140,0)+P147*$B$132</f>
        <v>20.603865889679646</v>
      </c>
      <c r="Q151" s="33">
        <f>IF(Q$146=1,$B$127*$B$140,0)+Q147*$B$132</f>
        <v>19.027464110460254</v>
      </c>
      <c r="R151" s="33">
        <f>IF(R$146=1,$B$127*$B$140,0)+R147*$B$132</f>
        <v>17.57167283136894</v>
      </c>
      <c r="S151" s="33">
        <f>IF(S$146=1,$B$127*$B$140,0)+S147*$B$132</f>
        <v>16.2272641430409</v>
      </c>
      <c r="T151" s="33">
        <f>IF(T$146=1,$B$127*$B$140,0)+T147*$B$132</f>
        <v>14.98571616345684</v>
      </c>
      <c r="U151" s="33">
        <f>IF(U$146=1,$B$127*$B$140,0)+U147*$B$132</f>
        <v>13.839159019790756</v>
      </c>
      <c r="V151" s="33">
        <f>IF(V$146=1,$B$127*$B$140,0)+V147*$B$132</f>
        <v>12.780324963186565</v>
      </c>
      <c r="W151" s="33">
        <f>IF(W$146=1,$B$127*$B$140,0)+W147*$B$132</f>
        <v>11.802502300253158</v>
      </c>
      <c r="X151" s="33">
        <f>IF(X$146=1,$B$127*$B$140,0)+X147*$B$132</f>
        <v>10.899492849260788</v>
      </c>
      <c r="Y151" s="33">
        <f>IF(Y$146=1,$B$127*$B$140,0)+Y147*$B$132</f>
        <v>10.065572651363846</v>
      </c>
      <c r="Z151" s="33">
        <f>IF(Z$146=1,$B$127*$B$140,0)+Z147*$B$132</f>
        <v>9.295455687807996</v>
      </c>
    </row>
    <row r="152">
      <c r="A152" s="16" t="inlineStr">
        <is>
          <t>Total contribution before CAC</t>
        </is>
      </c>
      <c r="B152" s="30">
        <f>SUM(C152:Z152)</f>
        <v>2907.202661116104</v>
      </c>
      <c r="C152" s="30">
        <f>SUM(C149:C151)</f>
        <v>2110.81253</v>
      </c>
      <c r="D152" s="30">
        <f>SUM(D149:D151)</f>
        <v>158.2969594542</v>
      </c>
      <c r="E152" s="30">
        <f>SUM(E149:E151)</f>
        <v>49.45321683490917</v>
      </c>
      <c r="F152" s="30">
        <f>SUM(F149:F151)</f>
        <v>45.669551214870275</v>
      </c>
      <c r="G152" s="30">
        <f>SUM(G149:G151)</f>
        <v>94.54867635142054</v>
      </c>
      <c r="H152" s="30">
        <f>SUM(H149:H151)</f>
        <v>38.94853599804836</v>
      </c>
      <c r="I152" s="30">
        <f>SUM(I149:I151)</f>
        <v>35.96858350883767</v>
      </c>
      <c r="J152" s="30">
        <f>SUM(J149:J151)</f>
        <v>59.40327843457649</v>
      </c>
      <c r="K152" s="30">
        <f>SUM(K149:K151)</f>
        <v>30.675223038684546</v>
      </c>
      <c r="L152" s="30">
        <f>SUM(L149:L151)</f>
        <v>28.328261723994792</v>
      </c>
      <c r="M152" s="30">
        <f>SUM(M149:M151)</f>
        <v>39.254192044491944</v>
      </c>
      <c r="N152" s="30">
        <f>SUM(N149:N151)</f>
        <v>24.159298529736613</v>
      </c>
      <c r="O152" s="30">
        <f>SUM(O149:O151)</f>
        <v>22.310870599226465</v>
      </c>
      <c r="P152" s="30">
        <f>SUM(P149:P151)</f>
        <v>27.150528702179646</v>
      </c>
      <c r="Q152" s="30">
        <f>SUM(Q149:Q151)</f>
        <v>19.027464110460254</v>
      </c>
      <c r="R152" s="30">
        <f>SUM(R149:R151)</f>
        <v>17.57167283136894</v>
      </c>
      <c r="S152" s="30">
        <f>SUM(S149:S151)</f>
        <v>19.5005955492909</v>
      </c>
      <c r="T152" s="30">
        <f>SUM(T149:T151)</f>
        <v>14.98571616345684</v>
      </c>
      <c r="U152" s="30">
        <f>SUM(U149:U151)</f>
        <v>13.839159019790756</v>
      </c>
      <c r="V152" s="30">
        <f>SUM(V149:V151)</f>
        <v>14.416990666311564</v>
      </c>
      <c r="W152" s="30">
        <f>SUM(W149:W151)</f>
        <v>11.802502300253158</v>
      </c>
      <c r="X152" s="30">
        <f>SUM(X149:X151)</f>
        <v>10.899492849260788</v>
      </c>
      <c r="Y152" s="30">
        <f>SUM(Y149:Y151)</f>
        <v>10.883905502926346</v>
      </c>
      <c r="Z152" s="30">
        <f>SUM(Z149:Z151)</f>
        <v>9.295455687807996</v>
      </c>
    </row>
    <row r="153">
      <c r="A153" s="3" t="inlineStr">
        <is>
          <t>CAC (paid, month 1)</t>
        </is>
      </c>
      <c r="B153" s="30">
        <f>SUM(C153:Z153)</f>
        <v>-4500.0</v>
      </c>
      <c r="C153" s="33">
        <f>IF(C$146=1,-$B$124*$B$131,0)</f>
        <v>-4500.0</v>
      </c>
      <c r="D153" s="33">
        <f>IF(D$146=1,-$B$124*$B$131,0)</f>
        <v>0.0</v>
      </c>
      <c r="E153" s="33">
        <f>IF(E$146=1,-$B$124*$B$131,0)</f>
        <v>0.0</v>
      </c>
      <c r="F153" s="33">
        <f>IF(F$146=1,-$B$124*$B$131,0)</f>
        <v>0.0</v>
      </c>
      <c r="G153" s="33">
        <f>IF(G$146=1,-$B$124*$B$131,0)</f>
        <v>0.0</v>
      </c>
      <c r="H153" s="33">
        <f>IF(H$146=1,-$B$124*$B$131,0)</f>
        <v>0.0</v>
      </c>
      <c r="I153" s="33">
        <f>IF(I$146=1,-$B$124*$B$131,0)</f>
        <v>0.0</v>
      </c>
      <c r="J153" s="33">
        <f>IF(J$146=1,-$B$124*$B$131,0)</f>
        <v>0.0</v>
      </c>
      <c r="K153" s="33">
        <f>IF(K$146=1,-$B$124*$B$131,0)</f>
        <v>0.0</v>
      </c>
      <c r="L153" s="33">
        <f>IF(L$146=1,-$B$124*$B$131,0)</f>
        <v>0.0</v>
      </c>
      <c r="M153" s="33">
        <f>IF(M$146=1,-$B$124*$B$131,0)</f>
        <v>0.0</v>
      </c>
      <c r="N153" s="33">
        <f>IF(N$146=1,-$B$124*$B$131,0)</f>
        <v>0.0</v>
      </c>
      <c r="O153" s="33">
        <f>IF(O$146=1,-$B$124*$B$131,0)</f>
        <v>0.0</v>
      </c>
      <c r="P153" s="33">
        <f>IF(P$146=1,-$B$124*$B$131,0)</f>
        <v>0.0</v>
      </c>
      <c r="Q153" s="33">
        <f>IF(Q$146=1,-$B$124*$B$131,0)</f>
        <v>0.0</v>
      </c>
      <c r="R153" s="33">
        <f>IF(R$146=1,-$B$124*$B$131,0)</f>
        <v>0.0</v>
      </c>
      <c r="S153" s="33">
        <f>IF(S$146=1,-$B$124*$B$131,0)</f>
        <v>0.0</v>
      </c>
      <c r="T153" s="33">
        <f>IF(T$146=1,-$B$124*$B$131,0)</f>
        <v>0.0</v>
      </c>
      <c r="U153" s="33">
        <f>IF(U$146=1,-$B$124*$B$131,0)</f>
        <v>0.0</v>
      </c>
      <c r="V153" s="33">
        <f>IF(V$146=1,-$B$124*$B$131,0)</f>
        <v>0.0</v>
      </c>
      <c r="W153" s="33">
        <f>IF(W$146=1,-$B$124*$B$131,0)</f>
        <v>0.0</v>
      </c>
      <c r="X153" s="33">
        <f>IF(X$146=1,-$B$124*$B$131,0)</f>
        <v>0.0</v>
      </c>
      <c r="Y153" s="33">
        <f>IF(Y$146=1,-$B$124*$B$131,0)</f>
        <v>0.0</v>
      </c>
      <c r="Z153" s="33">
        <f>IF(Z$146=1,-$B$124*$B$131,0)</f>
        <v>0.0</v>
      </c>
    </row>
    <row r="154">
      <c r="A154" s="3" t="inlineStr">
        <is>
          <t>Net contribution after CAC</t>
        </is>
      </c>
      <c r="B154" s="30">
        <f>SUM(C154:Z154)</f>
        <v>-1592.797338883896</v>
      </c>
      <c r="C154" s="33">
        <f>C152+C153</f>
        <v>-2389.18747</v>
      </c>
      <c r="D154" s="33">
        <f>D152+D153</f>
        <v>158.2969594542</v>
      </c>
      <c r="E154" s="33">
        <f>E152+E153</f>
        <v>49.45321683490917</v>
      </c>
      <c r="F154" s="33">
        <f>F152+F153</f>
        <v>45.669551214870275</v>
      </c>
      <c r="G154" s="33">
        <f>G152+G153</f>
        <v>94.54867635142054</v>
      </c>
      <c r="H154" s="33">
        <f>H152+H153</f>
        <v>38.94853599804836</v>
      </c>
      <c r="I154" s="33">
        <f>I152+I153</f>
        <v>35.96858350883767</v>
      </c>
      <c r="J154" s="33">
        <f>J152+J153</f>
        <v>59.40327843457649</v>
      </c>
      <c r="K154" s="33">
        <f>K152+K153</f>
        <v>30.675223038684546</v>
      </c>
      <c r="L154" s="33">
        <f>L152+L153</f>
        <v>28.328261723994792</v>
      </c>
      <c r="M154" s="33">
        <f>M152+M153</f>
        <v>39.254192044491944</v>
      </c>
      <c r="N154" s="33">
        <f>N152+N153</f>
        <v>24.159298529736613</v>
      </c>
      <c r="O154" s="33">
        <f>O152+O153</f>
        <v>22.310870599226465</v>
      </c>
      <c r="P154" s="33">
        <f>P152+P153</f>
        <v>27.150528702179646</v>
      </c>
      <c r="Q154" s="33">
        <f>Q152+Q153</f>
        <v>19.027464110460254</v>
      </c>
      <c r="R154" s="33">
        <f>R152+R153</f>
        <v>17.57167283136894</v>
      </c>
      <c r="S154" s="33">
        <f>S152+S153</f>
        <v>19.5005955492909</v>
      </c>
      <c r="T154" s="33">
        <f>T152+T153</f>
        <v>14.98571616345684</v>
      </c>
      <c r="U154" s="33">
        <f>U152+U153</f>
        <v>13.839159019790756</v>
      </c>
      <c r="V154" s="33">
        <f>V152+V153</f>
        <v>14.416990666311564</v>
      </c>
      <c r="W154" s="33">
        <f>W152+W153</f>
        <v>11.802502300253158</v>
      </c>
      <c r="X154" s="33">
        <f>X152+X153</f>
        <v>10.899492849260788</v>
      </c>
      <c r="Y154" s="33">
        <f>Y152+Y153</f>
        <v>10.883905502926346</v>
      </c>
      <c r="Z154" s="33">
        <f>Z152+Z153</f>
        <v>9.295455687807996</v>
      </c>
    </row>
    <row r="155">
      <c r="A155" s="16" t="inlineStr">
        <is>
          <t>CUMULATIVE contribution after CAC</t>
        </is>
      </c>
      <c r="C155" s="49">
        <f>C154</f>
        <v>-2389.18747</v>
      </c>
      <c r="D155" s="49">
        <f>C155+D154</f>
        <v>-2230.8905105457998</v>
      </c>
      <c r="E155" s="49">
        <f>D155+E154</f>
        <v>-2181.4372937108906</v>
      </c>
      <c r="F155" s="49">
        <f>E155+F154</f>
        <v>-2135.76774249602</v>
      </c>
      <c r="G155" s="49">
        <f>F155+G154</f>
        <v>-2041.2190661445998</v>
      </c>
      <c r="H155" s="49">
        <f>G155+H154</f>
        <v>-2002.2705301465514</v>
      </c>
      <c r="I155" s="49">
        <f>H155+I154</f>
        <v>-1966.3019466377139</v>
      </c>
      <c r="J155" s="49">
        <f>I155+J154</f>
        <v>-1906.8986682031373</v>
      </c>
      <c r="K155" s="49">
        <f>J155+K154</f>
        <v>-1876.2234451644526</v>
      </c>
      <c r="L155" s="49">
        <f>K155+L154</f>
        <v>-1847.895183440458</v>
      </c>
      <c r="M155" s="49">
        <f>L155+M154</f>
        <v>-1808.640991395966</v>
      </c>
      <c r="N155" s="49">
        <f>M155+N154</f>
        <v>-1784.4816928662294</v>
      </c>
      <c r="O155" s="49">
        <f>N155+O154</f>
        <v>-1762.170822267003</v>
      </c>
      <c r="P155" s="49">
        <f>O155+P154</f>
        <v>-1735.0202935648233</v>
      </c>
      <c r="Q155" s="49">
        <f>P155+Q154</f>
        <v>-1715.9928294543631</v>
      </c>
      <c r="R155" s="49">
        <f>Q155+R154</f>
        <v>-1698.4211566229942</v>
      </c>
      <c r="S155" s="49">
        <f>R155+S154</f>
        <v>-1678.9205610737033</v>
      </c>
      <c r="T155" s="49">
        <f>S155+T154</f>
        <v>-1663.9348449102465</v>
      </c>
      <c r="U155" s="49">
        <f>T155+U154</f>
        <v>-1650.0956858904558</v>
      </c>
      <c r="V155" s="49">
        <f>U155+V154</f>
        <v>-1635.6786952241441</v>
      </c>
      <c r="W155" s="49">
        <f>V155+W154</f>
        <v>-1623.876192923891</v>
      </c>
      <c r="X155" s="49">
        <f>W155+X154</f>
        <v>-1612.9767000746303</v>
      </c>
      <c r="Y155" s="49">
        <f>X155+Y154</f>
        <v>-1602.092794571704</v>
      </c>
      <c r="Z155" s="49">
        <f>Y155+Z154</f>
        <v>-1592.797338883896</v>
      </c>
    </row>
    <row r="156">
      <c r="A156" s="3" t="inlineStr">
        <is>
          <t>Cumulative contribution before CAC, per customer</t>
        </is>
      </c>
      <c r="C156" s="26">
        <f>SUM($C152:C152)/$B$124</f>
        <v>21.1081253</v>
      </c>
      <c r="D156" s="26">
        <f>SUM($C152:D152)/$B$124</f>
        <v>22.691094894542</v>
      </c>
      <c r="E156" s="26">
        <f>SUM($C152:E152)/$B$124</f>
        <v>23.185627062891093</v>
      </c>
      <c r="F156" s="26">
        <f>SUM($C152:F152)/$B$124</f>
        <v>23.6423225750398</v>
      </c>
      <c r="G156" s="26">
        <f>SUM($C152:G152)/$B$124</f>
        <v>24.587809338554003</v>
      </c>
      <c r="H156" s="26">
        <f>SUM($C152:H152)/$B$124</f>
        <v>24.977294698534482</v>
      </c>
      <c r="I156" s="26">
        <f>SUM($C152:I152)/$B$124</f>
        <v>25.336980533622864</v>
      </c>
      <c r="J156" s="26">
        <f>SUM($C152:J152)/$B$124</f>
        <v>25.931013317968628</v>
      </c>
      <c r="K156" s="26">
        <f>SUM($C152:K152)/$B$124</f>
        <v>26.237765548355473</v>
      </c>
      <c r="L156" s="26">
        <f>SUM($C152:L152)/$B$124</f>
        <v>26.52104816559542</v>
      </c>
      <c r="M156" s="26">
        <f>SUM($C152:M152)/$B$124</f>
        <v>26.91359008604034</v>
      </c>
      <c r="N156" s="26">
        <f>SUM($C152:N152)/$B$124</f>
        <v>27.155183071337706</v>
      </c>
      <c r="O156" s="26">
        <f>SUM($C152:O152)/$B$124</f>
        <v>27.37829177732997</v>
      </c>
      <c r="P156" s="26">
        <f>SUM($C152:P152)/$B$124</f>
        <v>27.649797064351766</v>
      </c>
      <c r="Q156" s="26">
        <f>SUM($C152:Q152)/$B$124</f>
        <v>27.84007170545637</v>
      </c>
      <c r="R156" s="26">
        <f>SUM($C152:R152)/$B$124</f>
        <v>28.01578843377006</v>
      </c>
      <c r="S156" s="26">
        <f>SUM($C152:S152)/$B$124</f>
        <v>28.21079438926297</v>
      </c>
      <c r="T156" s="26">
        <f>SUM($C152:T152)/$B$124</f>
        <v>28.360651550897536</v>
      </c>
      <c r="U156" s="26">
        <f>SUM($C152:U152)/$B$124</f>
        <v>28.499043141095445</v>
      </c>
      <c r="V156" s="26">
        <f>SUM($C152:V152)/$B$124</f>
        <v>28.643213047758557</v>
      </c>
      <c r="W156" s="26">
        <f>SUM($C152:W152)/$B$124</f>
        <v>28.76123807076109</v>
      </c>
      <c r="X156" s="26">
        <f>SUM($C152:X152)/$B$124</f>
        <v>28.870232999253698</v>
      </c>
      <c r="Y156" s="26">
        <f>SUM($C152:Y152)/$B$124</f>
        <v>28.97907205428296</v>
      </c>
      <c r="Z156" s="26">
        <f>SUM($C152:Z152)/$B$124</f>
        <v>29.07202661116104</v>
      </c>
    </row>
    <row r="157">
      <c r="A157" s="3" t="inlineStr">
        <is>
          <t>Gross revenue (reference only - NOT used for LTV)</t>
        </is>
      </c>
      <c r="B157" s="30">
        <f>SUM(C157:Z157)</f>
        <v>14879.133017565558</v>
      </c>
      <c r="C157" s="50">
        <f>IF(C$146=1,$B$124*$B$142,0)+C147*$B$143+C148*$B$144</f>
        <v>9038.864999999998</v>
      </c>
      <c r="D157" s="50">
        <f>IF(D$146=1,$B$124*$B$142,0)+D147*$B$143+D148*$B$144</f>
        <v>949.4629749000001</v>
      </c>
      <c r="E157" s="50">
        <f>IF(E$146=1,$B$124*$B$142,0)+E147*$B$143+E148*$B$144</f>
        <v>405.957407665401</v>
      </c>
      <c r="F157" s="50">
        <f>IF(F$146=1,$B$124*$B$142,0)+F147*$B$143+F148*$B$144</f>
        <v>374.89760640492113</v>
      </c>
      <c r="G157" s="50">
        <f>IF(G$146=1,$B$124*$B$142,0)+G147*$B$143+G148*$B$144</f>
        <v>601.1504405388806</v>
      </c>
      <c r="H157" s="50">
        <f>IF(H$146=1,$B$124*$B$142,0)+H147*$B$143+H148*$B$144</f>
        <v>319.7253428207508</v>
      </c>
      <c r="I157" s="50">
        <f>IF(I$146=1,$B$124*$B$142,0)+I147*$B$143+I148*$B$144</f>
        <v>295.2631568415351</v>
      </c>
      <c r="J157" s="50">
        <f>IF(J$146=1,$B$124*$B$142,0)+J147*$B$143+J148*$B$144</f>
        <v>400.14069771158927</v>
      </c>
      <c r="K157" s="50">
        <f>IF(K$146=1,$B$124*$B$142,0)+K147*$B$143+K148*$B$144</f>
        <v>251.81039417342555</v>
      </c>
      <c r="L157" s="50">
        <f>IF(L$146=1,$B$124*$B$142,0)+L147*$B$143+L148*$B$144</f>
        <v>232.54438091521675</v>
      </c>
      <c r="M157" s="50">
        <f>IF(M$146=1,$B$124*$B$142,0)+M147*$B$143+M148*$B$144</f>
        <v>278.4864728313935</v>
      </c>
      <c r="N157" s="50">
        <f>IF(N$146=1,$B$124*$B$142,0)+N147*$B$143+N148*$B$144</f>
        <v>198.32170341693853</v>
      </c>
      <c r="O157" s="50">
        <f>IF(O$146=1,$B$124*$B$142,0)+O147*$B$143+O148*$B$144</f>
        <v>183.14810988850857</v>
      </c>
      <c r="P157" s="50">
        <f>IF(P$146=1,$B$124*$B$142,0)+P147*$B$143+P148*$B$144</f>
        <v>201.00247925093873</v>
      </c>
      <c r="Q157" s="50">
        <f>IF(Q$146=1,$B$124*$B$142,0)+Q147*$B$143+Q148*$B$144</f>
        <v>156.19489487438693</v>
      </c>
      <c r="R157" s="50">
        <f>IF(R$146=1,$B$124*$B$142,0)+R147*$B$143+R148*$B$144</f>
        <v>144.24442346754756</v>
      </c>
      <c r="S157" s="50">
        <f>IF(S$146=1,$B$124*$B$142,0)+S147*$B$143+S148*$B$144</f>
        <v>149.14179825304552</v>
      </c>
      <c r="T157" s="50">
        <f>IF(T$146=1,$B$124*$B$142,0)+T147*$B$143+T148*$B$144</f>
        <v>123.0165169241737</v>
      </c>
      <c r="U157" s="50">
        <f>IF(U$146=1,$B$124*$B$142,0)+U147*$B$143+U148*$B$144</f>
        <v>113.60452321430519</v>
      </c>
      <c r="V157" s="50">
        <f>IF(V$146=1,$B$124*$B$142,0)+V147*$B$143+V148*$B$144</f>
        <v>112.8793989556787</v>
      </c>
      <c r="W157" s="50">
        <f>IF(W$146=1,$B$124*$B$142,0)+W147*$B$143+W148*$B$144</f>
        <v>96.88577496931407</v>
      </c>
      <c r="X157" s="50">
        <f>IF(X$146=1,$B$124*$B$142,0)+X147*$B$143+X148*$B$144</f>
        <v>89.47304432641184</v>
      </c>
      <c r="Y157" s="50">
        <f>IF(Y$146=1,$B$124*$B$142,0)+Y147*$B$143+Y148*$B$144</f>
        <v>86.61084061124807</v>
      </c>
      <c r="Z157" s="50">
        <f>IF(Z$146=1,$B$124*$B$142,0)+Z147*$B$143+Z148*$B$144</f>
        <v>76.30563460994865</v>
      </c>
    </row>
    <row r="158">
      <c r="A158" s="3" t="inlineStr">
        <is>
          <t>Payback helper (month if cumulative &gt;= 0, else 99)</t>
        </is>
      </c>
      <c r="C158" s="51">
        <f>IF(C155&gt;=0,C$146,99)</f>
        <v>99.0</v>
      </c>
      <c r="D158" s="51">
        <f>IF(D155&gt;=0,D$146,99)</f>
        <v>99.0</v>
      </c>
      <c r="E158" s="51">
        <f>IF(E155&gt;=0,E$146,99)</f>
        <v>99.0</v>
      </c>
      <c r="F158" s="51">
        <f>IF(F155&gt;=0,F$146,99)</f>
        <v>99.0</v>
      </c>
      <c r="G158" s="51">
        <f>IF(G155&gt;=0,G$146,99)</f>
        <v>99.0</v>
      </c>
      <c r="H158" s="51">
        <f>IF(H155&gt;=0,H$146,99)</f>
        <v>99.0</v>
      </c>
      <c r="I158" s="51">
        <f>IF(I155&gt;=0,I$146,99)</f>
        <v>99.0</v>
      </c>
      <c r="J158" s="51">
        <f>IF(J155&gt;=0,J$146,99)</f>
        <v>99.0</v>
      </c>
      <c r="K158" s="51">
        <f>IF(K155&gt;=0,K$146,99)</f>
        <v>99.0</v>
      </c>
      <c r="L158" s="51">
        <f>IF(L155&gt;=0,L$146,99)</f>
        <v>99.0</v>
      </c>
      <c r="M158" s="51">
        <f>IF(M155&gt;=0,M$146,99)</f>
        <v>99.0</v>
      </c>
      <c r="N158" s="51">
        <f>IF(N155&gt;=0,N$146,99)</f>
        <v>99.0</v>
      </c>
      <c r="O158" s="51">
        <f>IF(O155&gt;=0,O$146,99)</f>
        <v>99.0</v>
      </c>
      <c r="P158" s="51">
        <f>IF(P155&gt;=0,P$146,99)</f>
        <v>99.0</v>
      </c>
      <c r="Q158" s="51">
        <f>IF(Q155&gt;=0,Q$146,99)</f>
        <v>99.0</v>
      </c>
      <c r="R158" s="51">
        <f>IF(R155&gt;=0,R$146,99)</f>
        <v>99.0</v>
      </c>
      <c r="S158" s="51">
        <f>IF(S155&gt;=0,S$146,99)</f>
        <v>99.0</v>
      </c>
      <c r="T158" s="51">
        <f>IF(T155&gt;=0,T$146,99)</f>
        <v>99.0</v>
      </c>
      <c r="U158" s="51">
        <f>IF(U155&gt;=0,U$146,99)</f>
        <v>99.0</v>
      </c>
      <c r="V158" s="51">
        <f>IF(V155&gt;=0,V$146,99)</f>
        <v>99.0</v>
      </c>
      <c r="W158" s="51">
        <f>IF(W155&gt;=0,W$146,99)</f>
        <v>99.0</v>
      </c>
      <c r="X158" s="51">
        <f>IF(X155&gt;=0,X$146,99)</f>
        <v>99.0</v>
      </c>
      <c r="Y158" s="51">
        <f>IF(Y155&gt;=0,Y$146,99)</f>
        <v>99.0</v>
      </c>
      <c r="Z158" s="51">
        <f>IF(Z155&gt;=0,Z$146,99)</f>
        <v>99.0</v>
      </c>
    </row>
    <row r="160">
      <c r="A160" s="16" t="inlineStr">
        <is>
          <t>FIRST-ORDER contribution before ads, per customer</t>
        </is>
      </c>
      <c r="B160" s="42">
        <f>$B$130</f>
        <v>21.1081253</v>
      </c>
    </row>
    <row r="161">
      <c r="A161" s="16" t="inlineStr">
        <is>
          <t>FIRST-ORDER contribution after CAC, per customer</t>
        </is>
      </c>
      <c r="B161" s="42">
        <f>$B$130-$B$131</f>
        <v>-23.8918747</v>
      </c>
    </row>
    <row r="162">
      <c r="A162" s="16" t="inlineStr">
        <is>
          <t>Is the first order profitable after CAC?</t>
        </is>
      </c>
      <c r="B162" s="52" t="str">
        <f>IF(B161&gt;=0,"YES - first order covers CAC","NO - first order loses money after CAC")</f>
        <v>NO - first order loses money after CAC</v>
      </c>
    </row>
    <row r="163">
      <c r="A163" s="3" t="inlineStr">
        <is>
          <t>Payback month (numeric; 99 = none within 24 months)</t>
        </is>
      </c>
      <c r="B163" s="41">
        <f>MIN(C158:Z158)</f>
        <v>99.0</v>
      </c>
    </row>
    <row r="164">
      <c r="A164" s="16" t="inlineStr">
        <is>
          <t>Payback (display)</t>
        </is>
      </c>
      <c r="B164" s="52" t="str">
        <f>IF(B163&gt;24,"No payback within 24 months","Month "&amp;B163)</f>
        <v>No payback within 24 months</v>
      </c>
    </row>
    <row r="165">
      <c r="A165" s="16" t="inlineStr">
        <is>
          <t>12-month contribution LTV per customer (before CAC)</t>
        </is>
      </c>
      <c r="B165" s="42">
        <f>SUM(C152:N152)/$B$124</f>
        <v>27.155183071337706</v>
      </c>
    </row>
    <row r="166">
      <c r="A166" s="16" t="inlineStr">
        <is>
          <t>24-month contribution LTV per customer (before CAC)</t>
        </is>
      </c>
      <c r="B166" s="42">
        <f>SUM(C152:Z152)/$B$124</f>
        <v>29.07202661116104</v>
      </c>
    </row>
    <row r="167">
      <c r="A167" s="16" t="inlineStr">
        <is>
          <t>12-month contribution LTV net of CAC</t>
        </is>
      </c>
      <c r="B167" s="42">
        <f>B165-$B$131</f>
        <v>-17.844816928662294</v>
      </c>
    </row>
    <row r="168">
      <c r="A168" s="3" t="inlineStr">
        <is>
          <t>24-month contribution LTV net of CAC</t>
        </is>
      </c>
      <c r="B168" s="26">
        <f>B166-$B$131</f>
        <v>-15.92797338883896</v>
      </c>
    </row>
    <row r="169">
      <c r="A169" s="16" t="inlineStr">
        <is>
          <t>12-month LTV:CAC (contribution basis)</t>
        </is>
      </c>
      <c r="B169" s="53">
        <f>IFERROR(B165/$B$131,0)</f>
        <v>0.6034485126963934</v>
      </c>
    </row>
    <row r="170">
      <c r="A170" s="3" t="inlineStr">
        <is>
          <t>24-month LTV:CAC</t>
        </is>
      </c>
      <c r="B170" s="37">
        <f>IFERROR(B166/$B$131,0)</f>
        <v>0.6460450358035786</v>
      </c>
    </row>
    <row r="171">
      <c r="A171" s="3" t="inlineStr">
        <is>
          <t>12-month LTV : blended CAC (info only)</t>
        </is>
      </c>
      <c r="B171" s="37">
        <f>IFERROR(B165/($B$131*Inputs!$E$121),0)</f>
        <v>0.7099394267016393</v>
      </c>
    </row>
    <row r="172">
      <c r="A172" s="3" t="inlineStr">
        <is>
          <t>Cohort contribution from subscription renewals, months 1-24</t>
        </is>
      </c>
      <c r="B172" s="33">
        <f>B147*$B$132</f>
        <v>587.7152539676666</v>
      </c>
    </row>
    <row r="173">
      <c r="A173" s="3" t="inlineStr">
        <is>
          <t>Renewal contribution per subscriber, 12 months</t>
        </is>
      </c>
      <c r="B173" s="26">
        <f>IFERROR(SUM(C147:N147)*$B$132/$B$127,0)</f>
        <v>27.220392850584695</v>
      </c>
    </row>
    <row r="174">
      <c r="A174" s="3" t="inlineStr">
        <is>
          <t>Repeat contribution per occasional buyer, 12 months</t>
        </is>
      </c>
      <c r="B174" s="26">
        <f>IFERROR(SUM(C148:N148)*$B$133/$B$128,0)</f>
        <v>15.403912499999995</v>
      </c>
    </row>
    <row r="175">
      <c r="A175" s="3" t="inlineStr">
        <is>
          <t>Orders per acquired customer, 12 months</t>
        </is>
      </c>
      <c r="B175" s="11">
        <f>($B$124+SUM(C147:N147)+SUM(C148:N148))/$B$124</f>
        <v>2.1703368854630467</v>
      </c>
    </row>
    <row r="176">
      <c r="A176" s="3" t="inlineStr">
        <is>
          <t>Renewal contribution per subscriber, 24 months</t>
        </is>
      </c>
      <c r="B176" s="26">
        <f>IFERROR(SUM(C147:Z147)*$B$132/$B$127,0)</f>
        <v>39.18101693117777</v>
      </c>
    </row>
    <row r="177">
      <c r="A177" s="3" t="inlineStr">
        <is>
          <t>Repeat contribution per occasional buyer, 24 months</t>
        </is>
      </c>
      <c r="B177" s="26">
        <f>IFERROR(SUM(C148:Z148)*$B$133/$B$128,0)</f>
        <v>16.366657031249996</v>
      </c>
    </row>
    <row r="180">
      <c r="A180" s="43" t="inlineStr">
        <is>
          <t>Engine cohort: OPTIMISTIC (engine)</t>
        </is>
      </c>
      <c r="B180" s="44" t="n"/>
      <c r="C180" s="44" t="n"/>
      <c r="D180" s="44" t="n"/>
      <c r="E180" s="44" t="n"/>
      <c r="F180" s="44" t="n"/>
      <c r="G180" s="44" t="n"/>
      <c r="H180" s="44" t="n"/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</row>
    <row r="182">
      <c r="A182" s="3" t="inlineStr">
        <is>
          <t>Customers acquired (N)</t>
        </is>
      </c>
      <c r="B182" s="12">
        <f>Inputs!$F$9</f>
        <v>100.0</v>
      </c>
    </row>
    <row r="183">
      <c r="A183" s="3" t="inlineStr">
        <is>
          <t>Subscription attach (after any shock)</t>
        </is>
      </c>
      <c r="B183" s="34">
        <f>MIN(1,Inputs!$F$144*Espresso_UnitEcon!$T$10)</f>
        <v>0.25</v>
      </c>
    </row>
    <row r="184">
      <c r="A184" s="3" t="inlineStr">
        <is>
          <t>Non-subscriber 12-month repeat rate</t>
        </is>
      </c>
      <c r="B184" s="45">
        <f>Inputs!$F$147</f>
        <v>0.2</v>
      </c>
    </row>
    <row r="185">
      <c r="A185" s="3" t="inlineStr">
        <is>
          <t>Segment: subscribers</t>
        </is>
      </c>
      <c r="B185" s="46">
        <f>$B$182*$B$183</f>
        <v>25.0</v>
      </c>
    </row>
    <row r="186">
      <c r="A186" s="3" t="inlineStr">
        <is>
          <t>Segment: occasional repeat buyers</t>
        </is>
      </c>
      <c r="B186" s="46">
        <f>$B$182*(1-$B$183)*$B$184</f>
        <v>15.0</v>
      </c>
    </row>
    <row r="187">
      <c r="A187" s="3" t="inlineStr">
        <is>
          <t>Segment: one-time only</t>
        </is>
      </c>
      <c r="B187" s="46">
        <f>$B$182-$B$185-$B$186</f>
        <v>60.0</v>
      </c>
    </row>
    <row r="188">
      <c r="A188" s="3" t="inlineStr">
        <is>
          <t>First-order contribution before ads, per customer (mix)</t>
        </is>
      </c>
      <c r="B188" s="39">
        <f>Espresso_UnitEcon!$T$57</f>
        <v>59.41092475555555</v>
      </c>
    </row>
    <row r="189">
      <c r="A189" s="3" t="inlineStr">
        <is>
          <t>Paid CAC per new customer</t>
        </is>
      </c>
      <c r="B189" s="39">
        <f>Espresso_UnitEcon!$T$60</f>
        <v>30.0</v>
      </c>
    </row>
    <row r="190">
      <c r="A190" s="3" t="inlineStr">
        <is>
          <t>Contribution per subscription renewal order</t>
        </is>
      </c>
      <c r="B190" s="39">
        <f>Espresso_UnitEcon!$W$50</f>
        <v>19.0830195</v>
      </c>
    </row>
    <row r="191">
      <c r="A191" s="3" t="inlineStr">
        <is>
          <t>Contribution per occasional repeat order</t>
        </is>
      </c>
      <c r="B191" s="39">
        <f>Espresso_UnitEcon!$X$50</f>
        <v>23.325855000000004</v>
      </c>
    </row>
    <row r="192">
      <c r="A192" s="3" t="inlineStr">
        <is>
          <t>First-month drop (incl. involuntary)</t>
        </is>
      </c>
      <c r="B192" s="34">
        <f>1-(1-MIN(1,Inputs!$F$145*Espresso_UnitEcon!$T$11))*(1-MIN(1,Inputs!$F$137*Espresso_UnitEcon!$T$11))</f>
        <v>0.12351999999999996</v>
      </c>
    </row>
    <row r="193">
      <c r="A193" s="3" t="inlineStr">
        <is>
          <t>Monthly churn after month 2 (incl. involuntary)</t>
        </is>
      </c>
      <c r="B193" s="34">
        <f>1-(1-MIN(1,Inputs!$F$146*Espresso_UnitEcon!$T$11))*(1-MIN(1,Inputs!$F$137*Espresso_UnitEcon!$T$11))</f>
        <v>0.04383999999999999</v>
      </c>
    </row>
    <row r="194">
      <c r="A194" s="3" t="inlineStr">
        <is>
          <t>Renewal cadence (months)</t>
        </is>
      </c>
      <c r="B194" s="41" t="n">
        <v>1</v>
      </c>
    </row>
    <row r="195">
      <c r="A195" s="3" t="inlineStr">
        <is>
          <t>Occasional: month of first repeat</t>
        </is>
      </c>
      <c r="B195" s="12">
        <f>Inputs!$F$148</f>
        <v>2.0</v>
      </c>
    </row>
    <row r="196">
      <c r="A196" s="3" t="inlineStr">
        <is>
          <t>Occasional: months between orders</t>
        </is>
      </c>
      <c r="B196" s="12">
        <f>Inputs!$F$149</f>
        <v>2.0</v>
      </c>
    </row>
    <row r="197">
      <c r="A197" s="3" t="inlineStr">
        <is>
          <t>Occasional: probability of each further order</t>
        </is>
      </c>
      <c r="B197" s="45">
        <f>Inputs!$F$150</f>
        <v>0.6</v>
      </c>
    </row>
    <row r="198">
      <c r="A198" s="3" t="inlineStr">
        <is>
          <t>First-order contribution - subscriber</t>
        </is>
      </c>
      <c r="B198" s="39">
        <f>Espresso_UnitEcon!$T$63</f>
        <v>73.72751838055555</v>
      </c>
    </row>
    <row r="199">
      <c r="A199" s="3" t="inlineStr">
        <is>
          <t>First-order contribution - non-subscriber</t>
        </is>
      </c>
      <c r="B199" s="39">
        <f>Espresso_UnitEcon!$T$64</f>
        <v>54.63872688055555</v>
      </c>
    </row>
    <row r="200">
      <c r="A200" s="3" t="inlineStr">
        <is>
          <t>First-order gross revenue (mix) - reference</t>
        </is>
      </c>
      <c r="B200" s="39">
        <f>Espresso_UnitEcon!$T$59</f>
        <v>109.88774999999998</v>
      </c>
    </row>
    <row r="201">
      <c r="A201" s="3" t="inlineStr">
        <is>
          <t>Renewal order gross revenue - reference</t>
        </is>
      </c>
      <c r="B201" s="39">
        <f>Espresso_UnitEcon!$W$35</f>
        <v>39.591</v>
      </c>
    </row>
    <row r="202">
      <c r="A202" s="3" t="inlineStr">
        <is>
          <t>Occasional order gross revenue - reference</t>
        </is>
      </c>
      <c r="B202" s="39">
        <f>Espresso_UnitEcon!$X$35</f>
        <v>43.99</v>
      </c>
    </row>
    <row r="204">
      <c r="A204" s="4" t="inlineStr">
        <is>
          <t>Month</t>
        </is>
      </c>
      <c r="B204" s="4" t="inlineStr">
        <is>
          <t>Total 1-24</t>
        </is>
      </c>
      <c r="C204" s="47" t="n">
        <v>1</v>
      </c>
      <c r="D204" s="47" t="n">
        <v>2</v>
      </c>
      <c r="E204" s="47" t="n">
        <v>3</v>
      </c>
      <c r="F204" s="47" t="n">
        <v>4</v>
      </c>
      <c r="G204" s="47" t="n">
        <v>5</v>
      </c>
      <c r="H204" s="47" t="n">
        <v>6</v>
      </c>
      <c r="I204" s="47" t="n">
        <v>7</v>
      </c>
      <c r="J204" s="47" t="n">
        <v>8</v>
      </c>
      <c r="K204" s="47" t="n">
        <v>9</v>
      </c>
      <c r="L204" s="47" t="n">
        <v>10</v>
      </c>
      <c r="M204" s="47" t="n">
        <v>11</v>
      </c>
      <c r="N204" s="47" t="n">
        <v>12</v>
      </c>
      <c r="O204" s="47" t="n">
        <v>13</v>
      </c>
      <c r="P204" s="47" t="n">
        <v>14</v>
      </c>
      <c r="Q204" s="47" t="n">
        <v>15</v>
      </c>
      <c r="R204" s="47" t="n">
        <v>16</v>
      </c>
      <c r="S204" s="47" t="n">
        <v>17</v>
      </c>
      <c r="T204" s="47" t="n">
        <v>18</v>
      </c>
      <c r="U204" s="47" t="n">
        <v>19</v>
      </c>
      <c r="V204" s="47" t="n">
        <v>20</v>
      </c>
      <c r="W204" s="47" t="n">
        <v>21</v>
      </c>
      <c r="X204" s="47" t="n">
        <v>22</v>
      </c>
      <c r="Y204" s="47" t="n">
        <v>23</v>
      </c>
      <c r="Z204" s="47" t="n">
        <v>24</v>
      </c>
    </row>
    <row r="205">
      <c r="A205" s="3" t="inlineStr">
        <is>
          <t>Subscription renewal orders (paying subscribers)</t>
        </is>
      </c>
      <c r="B205" s="48">
        <f>SUM(C205:Z205)</f>
        <v>321.5736422961387</v>
      </c>
      <c r="C205" s="46">
        <f>IF(C$204&gt;=2,$B$185*(1-$B$192)*(1-$B$193)^(C$204-2),0)</f>
        <v>0.0</v>
      </c>
      <c r="D205" s="46">
        <f>IF(D$204&gt;=2,$B$185*(1-$B$192)*(1-$B$193)^(D$204-2),0)</f>
        <v>21.912000000000003</v>
      </c>
      <c r="E205" s="46">
        <f>IF(E$204&gt;=2,$B$185*(1-$B$192)*(1-$B$193)^(E$204-2),0)</f>
        <v>20.951377920000002</v>
      </c>
      <c r="F205" s="46">
        <f>IF(F$204&gt;=2,$B$185*(1-$B$192)*(1-$B$193)^(F$204-2),0)</f>
        <v>20.032869511987204</v>
      </c>
      <c r="G205" s="46">
        <f>IF(G$204&gt;=2,$B$185*(1-$B$192)*(1-$B$193)^(G$204-2),0)</f>
        <v>19.154628512581684</v>
      </c>
      <c r="H205" s="46">
        <f>IF(H$204&gt;=2,$B$185*(1-$B$192)*(1-$B$193)^(H$204-2),0)</f>
        <v>18.314889598590103</v>
      </c>
      <c r="I205" s="46">
        <f>IF(I$204&gt;=2,$B$185*(1-$B$192)*(1-$B$193)^(I$204-2),0)</f>
        <v>17.511964838587915</v>
      </c>
      <c r="J205" s="46">
        <f>IF(J$204&gt;=2,$B$185*(1-$B$192)*(1-$B$193)^(J$204-2),0)</f>
        <v>16.74424030006422</v>
      </c>
      <c r="K205" s="46">
        <f>IF(K$204&gt;=2,$B$185*(1-$B$192)*(1-$B$193)^(K$204-2),0)</f>
        <v>16.010172805309406</v>
      </c>
      <c r="L205" s="46">
        <f>IF(L$204&gt;=2,$B$185*(1-$B$192)*(1-$B$193)^(L$204-2),0)</f>
        <v>15.30828682952464</v>
      </c>
      <c r="M205" s="46">
        <f>IF(M$204&gt;=2,$B$185*(1-$B$192)*(1-$B$193)^(M$204-2),0)</f>
        <v>14.63717153491828</v>
      </c>
      <c r="N205" s="46">
        <f>IF(N$204&gt;=2,$B$185*(1-$B$192)*(1-$B$193)^(N$204-2),0)</f>
        <v>13.995477934827463</v>
      </c>
      <c r="O205" s="46">
        <f>IF(O$204&gt;=2,$B$185*(1-$B$192)*(1-$B$193)^(O$204-2),0)</f>
        <v>13.381916182164627</v>
      </c>
      <c r="P205" s="46">
        <f>IF(P$204&gt;=2,$B$185*(1-$B$192)*(1-$B$193)^(P$204-2),0)</f>
        <v>12.79525297673853</v>
      </c>
      <c r="Q205" s="46">
        <f>IF(Q$204&gt;=2,$B$185*(1-$B$192)*(1-$B$193)^(Q$204-2),0)</f>
        <v>12.234309086238312</v>
      </c>
      <c r="R205" s="46">
        <f>IF(R$204&gt;=2,$B$185*(1-$B$192)*(1-$B$193)^(R$204-2),0)</f>
        <v>11.697956975897624</v>
      </c>
      <c r="S205" s="46">
        <f>IF(S$204&gt;=2,$B$185*(1-$B$192)*(1-$B$193)^(S$204-2),0)</f>
        <v>11.185118542074274</v>
      </c>
      <c r="T205" s="46">
        <f>IF(T$204&gt;=2,$B$185*(1-$B$192)*(1-$B$193)^(T$204-2),0)</f>
        <v>10.694762945189737</v>
      </c>
      <c r="U205" s="46">
        <f>IF(U$204&gt;=2,$B$185*(1-$B$192)*(1-$B$193)^(U$204-2),0)</f>
        <v>10.22590453767262</v>
      </c>
      <c r="V205" s="46">
        <f>IF(V$204&gt;=2,$B$185*(1-$B$192)*(1-$B$193)^(V$204-2),0)</f>
        <v>9.777600882741051</v>
      </c>
      <c r="W205" s="46">
        <f>IF(W$204&gt;=2,$B$185*(1-$B$192)*(1-$B$193)^(W$204-2),0)</f>
        <v>9.348950860041684</v>
      </c>
      <c r="X205" s="46">
        <f>IF(X$204&gt;=2,$B$185*(1-$B$192)*(1-$B$193)^(X$204-2),0)</f>
        <v>8.939092854337456</v>
      </c>
      <c r="Y205" s="46">
        <f>IF(Y$204&gt;=2,$B$185*(1-$B$192)*(1-$B$193)^(Y$204-2),0)</f>
        <v>8.547203023603304</v>
      </c>
      <c r="Z205" s="46">
        <f>IF(Z$204&gt;=2,$B$185*(1-$B$192)*(1-$B$193)^(Z$204-2),0)</f>
        <v>8.172493643048535</v>
      </c>
    </row>
    <row r="206">
      <c r="A206" s="3" t="inlineStr">
        <is>
          <t>Occasional repeat orders</t>
        </is>
      </c>
      <c r="B206" s="48">
        <f>SUM(C206:Z206)</f>
        <v>37.4183706624</v>
      </c>
      <c r="C206" s="46">
        <f>IF(AND(C$204&gt;=$B$195,MOD(C$204-$B$195,$B$196)=0),$B$186*$B$197^((C$204-$B$195)/$B$196),0)</f>
        <v>0.0</v>
      </c>
      <c r="D206" s="46">
        <f>IF(AND(D$204&gt;=$B$195,MOD(D$204-$B$195,$B$196)=0),$B$186*$B$197^((D$204-$B$195)/$B$196),0)</f>
        <v>15.0</v>
      </c>
      <c r="E206" s="46">
        <f>IF(AND(E$204&gt;=$B$195,MOD(E$204-$B$195,$B$196)=0),$B$186*$B$197^((E$204-$B$195)/$B$196),0)</f>
        <v>0.0</v>
      </c>
      <c r="F206" s="46">
        <f>IF(AND(F$204&gt;=$B$195,MOD(F$204-$B$195,$B$196)=0),$B$186*$B$197^((F$204-$B$195)/$B$196),0)</f>
        <v>9.0</v>
      </c>
      <c r="G206" s="46">
        <f>IF(AND(G$204&gt;=$B$195,MOD(G$204-$B$195,$B$196)=0),$B$186*$B$197^((G$204-$B$195)/$B$196),0)</f>
        <v>0.0</v>
      </c>
      <c r="H206" s="46">
        <f>IF(AND(H$204&gt;=$B$195,MOD(H$204-$B$195,$B$196)=0),$B$186*$B$197^((H$204-$B$195)/$B$196),0)</f>
        <v>5.3999999999999995</v>
      </c>
      <c r="I206" s="46">
        <f>IF(AND(I$204&gt;=$B$195,MOD(I$204-$B$195,$B$196)=0),$B$186*$B$197^((I$204-$B$195)/$B$196),0)</f>
        <v>0.0</v>
      </c>
      <c r="J206" s="46">
        <f>IF(AND(J$204&gt;=$B$195,MOD(J$204-$B$195,$B$196)=0),$B$186*$B$197^((J$204-$B$195)/$B$196),0)</f>
        <v>3.2399999999999993</v>
      </c>
      <c r="K206" s="46">
        <f>IF(AND(K$204&gt;=$B$195,MOD(K$204-$B$195,$B$196)=0),$B$186*$B$197^((K$204-$B$195)/$B$196),0)</f>
        <v>0.0</v>
      </c>
      <c r="L206" s="46">
        <f>IF(AND(L$204&gt;=$B$195,MOD(L$204-$B$195,$B$196)=0),$B$186*$B$197^((L$204-$B$195)/$B$196),0)</f>
        <v>1.944</v>
      </c>
      <c r="M206" s="46">
        <f>IF(AND(M$204&gt;=$B$195,MOD(M$204-$B$195,$B$196)=0),$B$186*$B$197^((M$204-$B$195)/$B$196),0)</f>
        <v>0.0</v>
      </c>
      <c r="N206" s="46">
        <f>IF(AND(N$204&gt;=$B$195,MOD(N$204-$B$195,$B$196)=0),$B$186*$B$197^((N$204-$B$195)/$B$196),0)</f>
        <v>1.1663999999999997</v>
      </c>
      <c r="O206" s="46">
        <f>IF(AND(O$204&gt;=$B$195,MOD(O$204-$B$195,$B$196)=0),$B$186*$B$197^((O$204-$B$195)/$B$196),0)</f>
        <v>0.0</v>
      </c>
      <c r="P206" s="46">
        <f>IF(AND(P$204&gt;=$B$195,MOD(P$204-$B$195,$B$196)=0),$B$186*$B$197^((P$204-$B$195)/$B$196),0)</f>
        <v>0.6998399999999998</v>
      </c>
      <c r="Q206" s="46">
        <f>IF(AND(Q$204&gt;=$B$195,MOD(Q$204-$B$195,$B$196)=0),$B$186*$B$197^((Q$204-$B$195)/$B$196),0)</f>
        <v>0.0</v>
      </c>
      <c r="R206" s="46">
        <f>IF(AND(R$204&gt;=$B$195,MOD(R$204-$B$195,$B$196)=0),$B$186*$B$197^((R$204-$B$195)/$B$196),0)</f>
        <v>0.4199039999999999</v>
      </c>
      <c r="S206" s="46">
        <f>IF(AND(S$204&gt;=$B$195,MOD(S$204-$B$195,$B$196)=0),$B$186*$B$197^((S$204-$B$195)/$B$196),0)</f>
        <v>0.0</v>
      </c>
      <c r="T206" s="46">
        <f>IF(AND(T$204&gt;=$B$195,MOD(T$204-$B$195,$B$196)=0),$B$186*$B$197^((T$204-$B$195)/$B$196),0)</f>
        <v>0.2519423999999999</v>
      </c>
      <c r="U206" s="46">
        <f>IF(AND(U$204&gt;=$B$195,MOD(U$204-$B$195,$B$196)=0),$B$186*$B$197^((U$204-$B$195)/$B$196),0)</f>
        <v>0.0</v>
      </c>
      <c r="V206" s="46">
        <f>IF(AND(V$204&gt;=$B$195,MOD(V$204-$B$195,$B$196)=0),$B$186*$B$197^((V$204-$B$195)/$B$196),0)</f>
        <v>0.15116543999999996</v>
      </c>
      <c r="W206" s="46">
        <f>IF(AND(W$204&gt;=$B$195,MOD(W$204-$B$195,$B$196)=0),$B$186*$B$197^((W$204-$B$195)/$B$196),0)</f>
        <v>0.0</v>
      </c>
      <c r="X206" s="46">
        <f>IF(AND(X$204&gt;=$B$195,MOD(X$204-$B$195,$B$196)=0),$B$186*$B$197^((X$204-$B$195)/$B$196),0)</f>
        <v>0.09069926399999996</v>
      </c>
      <c r="Y206" s="46">
        <f>IF(AND(Y$204&gt;=$B$195,MOD(Y$204-$B$195,$B$196)=0),$B$186*$B$197^((Y$204-$B$195)/$B$196),0)</f>
        <v>0.0</v>
      </c>
      <c r="Z206" s="46">
        <f>IF(AND(Z$204&gt;=$B$195,MOD(Z$204-$B$195,$B$196)=0),$B$186*$B$197^((Z$204-$B$195)/$B$196),0)</f>
        <v>0.05441955839999998</v>
      </c>
    </row>
    <row r="207">
      <c r="A207" s="3" t="inlineStr">
        <is>
          <t>Contribution - one-time-only segment</t>
        </is>
      </c>
      <c r="B207" s="30">
        <f>SUM(C207:Z207)</f>
        <v>3278.3236128333333</v>
      </c>
      <c r="C207" s="33">
        <f>IF(C$204=1,$B$187*$B$199,0)</f>
        <v>3278.3236128333333</v>
      </c>
      <c r="D207" s="33">
        <f>IF(D$204=1,$B$187*$B$199,0)</f>
        <v>0.0</v>
      </c>
      <c r="E207" s="33">
        <f>IF(E$204=1,$B$187*$B$199,0)</f>
        <v>0.0</v>
      </c>
      <c r="F207" s="33">
        <f>IF(F$204=1,$B$187*$B$199,0)</f>
        <v>0.0</v>
      </c>
      <c r="G207" s="33">
        <f>IF(G$204=1,$B$187*$B$199,0)</f>
        <v>0.0</v>
      </c>
      <c r="H207" s="33">
        <f>IF(H$204=1,$B$187*$B$199,0)</f>
        <v>0.0</v>
      </c>
      <c r="I207" s="33">
        <f>IF(I$204=1,$B$187*$B$199,0)</f>
        <v>0.0</v>
      </c>
      <c r="J207" s="33">
        <f>IF(J$204=1,$B$187*$B$199,0)</f>
        <v>0.0</v>
      </c>
      <c r="K207" s="33">
        <f>IF(K$204=1,$B$187*$B$199,0)</f>
        <v>0.0</v>
      </c>
      <c r="L207" s="33">
        <f>IF(L$204=1,$B$187*$B$199,0)</f>
        <v>0.0</v>
      </c>
      <c r="M207" s="33">
        <f>IF(M$204=1,$B$187*$B$199,0)</f>
        <v>0.0</v>
      </c>
      <c r="N207" s="33">
        <f>IF(N$204=1,$B$187*$B$199,0)</f>
        <v>0.0</v>
      </c>
      <c r="O207" s="33">
        <f>IF(O$204=1,$B$187*$B$199,0)</f>
        <v>0.0</v>
      </c>
      <c r="P207" s="33">
        <f>IF(P$204=1,$B$187*$B$199,0)</f>
        <v>0.0</v>
      </c>
      <c r="Q207" s="33">
        <f>IF(Q$204=1,$B$187*$B$199,0)</f>
        <v>0.0</v>
      </c>
      <c r="R207" s="33">
        <f>IF(R$204=1,$B$187*$B$199,0)</f>
        <v>0.0</v>
      </c>
      <c r="S207" s="33">
        <f>IF(S$204=1,$B$187*$B$199,0)</f>
        <v>0.0</v>
      </c>
      <c r="T207" s="33">
        <f>IF(T$204=1,$B$187*$B$199,0)</f>
        <v>0.0</v>
      </c>
      <c r="U207" s="33">
        <f>IF(U$204=1,$B$187*$B$199,0)</f>
        <v>0.0</v>
      </c>
      <c r="V207" s="33">
        <f>IF(V$204=1,$B$187*$B$199,0)</f>
        <v>0.0</v>
      </c>
      <c r="W207" s="33">
        <f>IF(W$204=1,$B$187*$B$199,0)</f>
        <v>0.0</v>
      </c>
      <c r="X207" s="33">
        <f>IF(X$204=1,$B$187*$B$199,0)</f>
        <v>0.0</v>
      </c>
      <c r="Y207" s="33">
        <f>IF(Y$204=1,$B$187*$B$199,0)</f>
        <v>0.0</v>
      </c>
      <c r="Z207" s="33">
        <f>IF(Z$204=1,$B$187*$B$199,0)</f>
        <v>0.0</v>
      </c>
    </row>
    <row r="208">
      <c r="A208" s="3" t="inlineStr">
        <is>
          <t>Contribution - occasional repeat segment</t>
        </is>
      </c>
      <c r="B208" s="30">
        <f>SUM(C208:Z208)</f>
        <v>1692.3963916157297</v>
      </c>
      <c r="C208" s="33">
        <f>IF(C$204=1,$B$186*$B$199,0)+C206*$B$191</f>
        <v>819.5809032083333</v>
      </c>
      <c r="D208" s="33">
        <f>IF(D$204=1,$B$186*$B$199,0)+D206*$B$191</f>
        <v>349.8878250000001</v>
      </c>
      <c r="E208" s="33">
        <f>IF(E$204=1,$B$186*$B$199,0)+E206*$B$191</f>
        <v>0.0</v>
      </c>
      <c r="F208" s="33">
        <f>IF(F$204=1,$B$186*$B$199,0)+F206*$B$191</f>
        <v>209.93269500000002</v>
      </c>
      <c r="G208" s="33">
        <f>IF(G$204=1,$B$186*$B$199,0)+G206*$B$191</f>
        <v>0.0</v>
      </c>
      <c r="H208" s="33">
        <f>IF(H$204=1,$B$186*$B$199,0)+H206*$B$191</f>
        <v>125.95961700000001</v>
      </c>
      <c r="I208" s="33">
        <f>IF(I$204=1,$B$186*$B$199,0)+I206*$B$191</f>
        <v>0.0</v>
      </c>
      <c r="J208" s="33">
        <f>IF(J$204=1,$B$186*$B$199,0)+J206*$B$191</f>
        <v>75.5757702</v>
      </c>
      <c r="K208" s="33">
        <f>IF(K$204=1,$B$186*$B$199,0)+K206*$B$191</f>
        <v>0.0</v>
      </c>
      <c r="L208" s="33">
        <f>IF(L$204=1,$B$186*$B$199,0)+L206*$B$191</f>
        <v>45.34546212000001</v>
      </c>
      <c r="M208" s="33">
        <f>IF(M$204=1,$B$186*$B$199,0)+M206*$B$191</f>
        <v>0.0</v>
      </c>
      <c r="N208" s="33">
        <f>IF(N$204=1,$B$186*$B$199,0)+N206*$B$191</f>
        <v>27.207277271999995</v>
      </c>
      <c r="O208" s="33">
        <f>IF(O$204=1,$B$186*$B$199,0)+O206*$B$191</f>
        <v>0.0</v>
      </c>
      <c r="P208" s="33">
        <f>IF(P$204=1,$B$186*$B$199,0)+P206*$B$191</f>
        <v>16.3243663632</v>
      </c>
      <c r="Q208" s="33">
        <f>IF(Q$204=1,$B$186*$B$199,0)+Q206*$B$191</f>
        <v>0.0</v>
      </c>
      <c r="R208" s="33">
        <f>IF(R$204=1,$B$186*$B$199,0)+R206*$B$191</f>
        <v>9.79461981792</v>
      </c>
      <c r="S208" s="33">
        <f>IF(S$204=1,$B$186*$B$199,0)+S206*$B$191</f>
        <v>0.0</v>
      </c>
      <c r="T208" s="33">
        <f>IF(T$204=1,$B$186*$B$199,0)+T206*$B$191</f>
        <v>5.876771890751999</v>
      </c>
      <c r="U208" s="33">
        <f>IF(U$204=1,$B$186*$B$199,0)+U206*$B$191</f>
        <v>0.0</v>
      </c>
      <c r="V208" s="33">
        <f>IF(V$204=1,$B$186*$B$199,0)+V206*$B$191</f>
        <v>3.5260631344511997</v>
      </c>
      <c r="W208" s="33">
        <f>IF(W$204=1,$B$186*$B$199,0)+W206*$B$191</f>
        <v>0.0</v>
      </c>
      <c r="X208" s="33">
        <f>IF(X$204=1,$B$186*$B$199,0)+X206*$B$191</f>
        <v>2.1156378806707195</v>
      </c>
      <c r="Y208" s="33">
        <f>IF(Y$204=1,$B$186*$B$199,0)+Y206*$B$191</f>
        <v>0.0</v>
      </c>
      <c r="Z208" s="33">
        <f>IF(Z$204=1,$B$186*$B$199,0)+Z206*$B$191</f>
        <v>1.2693827284024317</v>
      </c>
    </row>
    <row r="209">
      <c r="A209" s="3" t="inlineStr">
        <is>
          <t>Contribution - subscriber segment</t>
        </is>
      </c>
      <c r="B209" s="30">
        <f>SUM(C209:Z209)</f>
        <v>7979.784046137127</v>
      </c>
      <c r="C209" s="33">
        <f>IF(C$204=1,$B$185*$B$198,0)+C205*$B$190</f>
        <v>1843.1879595138887</v>
      </c>
      <c r="D209" s="33">
        <f>IF(D$204=1,$B$185*$B$198,0)+D205*$B$190</f>
        <v>418.14712328400003</v>
      </c>
      <c r="E209" s="33">
        <f>IF(E$204=1,$B$185*$B$198,0)+E205*$B$190</f>
        <v>399.8155533992295</v>
      </c>
      <c r="F209" s="33">
        <f>IF(F$204=1,$B$185*$B$198,0)+F205*$B$190</f>
        <v>382.28763953820726</v>
      </c>
      <c r="G209" s="33">
        <f>IF(G$204=1,$B$185*$B$198,0)+G205*$B$190</f>
        <v>365.52814942085223</v>
      </c>
      <c r="H209" s="33">
        <f>IF(H$204=1,$B$185*$B$198,0)+H205*$B$190</f>
        <v>349.5033953502421</v>
      </c>
      <c r="I209" s="33">
        <f>IF(I$204=1,$B$185*$B$198,0)+I205*$B$190</f>
        <v>334.1811664980875</v>
      </c>
      <c r="J209" s="33">
        <f>IF(J$204=1,$B$185*$B$198,0)+J205*$B$190</f>
        <v>319.53066415881136</v>
      </c>
      <c r="K209" s="33">
        <f>IF(K$204=1,$B$185*$B$198,0)+K205*$B$190</f>
        <v>305.52243984208906</v>
      </c>
      <c r="L209" s="33">
        <f>IF(L$204=1,$B$185*$B$198,0)+L205*$B$190</f>
        <v>292.12833607941184</v>
      </c>
      <c r="M209" s="33">
        <f>IF(M$204=1,$B$185*$B$198,0)+M205*$B$190</f>
        <v>279.3214298256905</v>
      </c>
      <c r="N209" s="33">
        <f>IF(N$204=1,$B$185*$B$198,0)+N205*$B$190</f>
        <v>267.0759783421322</v>
      </c>
      <c r="O209" s="33">
        <f>IF(O$204=1,$B$185*$B$198,0)+O205*$B$190</f>
        <v>255.36736745161312</v>
      </c>
      <c r="P209" s="33">
        <f>IF(P$204=1,$B$185*$B$198,0)+P205*$B$190</f>
        <v>244.1720620625344</v>
      </c>
      <c r="Q209" s="33">
        <f>IF(Q$204=1,$B$185*$B$198,0)+Q205*$B$190</f>
        <v>233.4675588617129</v>
      </c>
      <c r="R209" s="33">
        <f>IF(R$204=1,$B$185*$B$198,0)+R205*$B$190</f>
        <v>223.23234108121537</v>
      </c>
      <c r="S209" s="33">
        <f>IF(S$204=1,$B$185*$B$198,0)+S205*$B$190</f>
        <v>213.44583524821493</v>
      </c>
      <c r="T209" s="33">
        <f>IF(T$204=1,$B$185*$B$198,0)+T205*$B$190</f>
        <v>204.08836983093317</v>
      </c>
      <c r="U209" s="33">
        <f>IF(U$204=1,$B$185*$B$198,0)+U205*$B$190</f>
        <v>195.14113569754505</v>
      </c>
      <c r="V209" s="33">
        <f>IF(V$204=1,$B$185*$B$198,0)+V205*$B$190</f>
        <v>186.58614830856467</v>
      </c>
      <c r="W209" s="33">
        <f>IF(W$204=1,$B$185*$B$198,0)+W205*$B$190</f>
        <v>178.40621156671722</v>
      </c>
      <c r="X209" s="33">
        <f>IF(X$204=1,$B$185*$B$198,0)+X205*$B$190</f>
        <v>170.58488325163233</v>
      </c>
      <c r="Y209" s="33">
        <f>IF(Y$204=1,$B$185*$B$198,0)+Y205*$B$190</f>
        <v>163.1064419698808</v>
      </c>
      <c r="Z209" s="33">
        <f>IF(Z$204=1,$B$185*$B$198,0)+Z205*$B$190</f>
        <v>155.95585555392123</v>
      </c>
    </row>
    <row r="210">
      <c r="A210" s="16" t="inlineStr">
        <is>
          <t>Total contribution before CAC</t>
        </is>
      </c>
      <c r="B210" s="30">
        <f>SUM(C210:Z210)</f>
        <v>12950.50405058619</v>
      </c>
      <c r="C210" s="30">
        <f>SUM(C207:C209)</f>
        <v>5941.092475555555</v>
      </c>
      <c r="D210" s="30">
        <f>SUM(D207:D209)</f>
        <v>768.0349482840002</v>
      </c>
      <c r="E210" s="30">
        <f>SUM(E207:E209)</f>
        <v>399.8155533992295</v>
      </c>
      <c r="F210" s="30">
        <f>SUM(F207:F209)</f>
        <v>592.2203345382072</v>
      </c>
      <c r="G210" s="30">
        <f>SUM(G207:G209)</f>
        <v>365.52814942085223</v>
      </c>
      <c r="H210" s="30">
        <f>SUM(H207:H209)</f>
        <v>475.46301235024214</v>
      </c>
      <c r="I210" s="30">
        <f>SUM(I207:I209)</f>
        <v>334.1811664980875</v>
      </c>
      <c r="J210" s="30">
        <f>SUM(J207:J209)</f>
        <v>395.1064343588114</v>
      </c>
      <c r="K210" s="30">
        <f>SUM(K207:K209)</f>
        <v>305.52243984208906</v>
      </c>
      <c r="L210" s="30">
        <f>SUM(L207:L209)</f>
        <v>337.4737981994118</v>
      </c>
      <c r="M210" s="30">
        <f>SUM(M207:M209)</f>
        <v>279.3214298256905</v>
      </c>
      <c r="N210" s="30">
        <f>SUM(N207:N209)</f>
        <v>294.2832556141322</v>
      </c>
      <c r="O210" s="30">
        <f>SUM(O207:O209)</f>
        <v>255.36736745161312</v>
      </c>
      <c r="P210" s="30">
        <f>SUM(P207:P209)</f>
        <v>260.4964284257344</v>
      </c>
      <c r="Q210" s="30">
        <f>SUM(Q207:Q209)</f>
        <v>233.4675588617129</v>
      </c>
      <c r="R210" s="30">
        <f>SUM(R207:R209)</f>
        <v>233.02696089913536</v>
      </c>
      <c r="S210" s="30">
        <f>SUM(S207:S209)</f>
        <v>213.44583524821493</v>
      </c>
      <c r="T210" s="30">
        <f>SUM(T207:T209)</f>
        <v>209.96514172168517</v>
      </c>
      <c r="U210" s="30">
        <f>SUM(U207:U209)</f>
        <v>195.14113569754505</v>
      </c>
      <c r="V210" s="30">
        <f>SUM(V207:V209)</f>
        <v>190.11221144301587</v>
      </c>
      <c r="W210" s="30">
        <f>SUM(W207:W209)</f>
        <v>178.40621156671722</v>
      </c>
      <c r="X210" s="30">
        <f>SUM(X207:X209)</f>
        <v>172.70052113230307</v>
      </c>
      <c r="Y210" s="30">
        <f>SUM(Y207:Y209)</f>
        <v>163.1064419698808</v>
      </c>
      <c r="Z210" s="30">
        <f>SUM(Z207:Z209)</f>
        <v>157.22523828232366</v>
      </c>
    </row>
    <row r="211">
      <c r="A211" s="3" t="inlineStr">
        <is>
          <t>CAC (paid, month 1)</t>
        </is>
      </c>
      <c r="B211" s="30">
        <f>SUM(C211:Z211)</f>
        <v>-3000.0</v>
      </c>
      <c r="C211" s="33">
        <f>IF(C$204=1,-$B$182*$B$189,0)</f>
        <v>-3000.0</v>
      </c>
      <c r="D211" s="33">
        <f>IF(D$204=1,-$B$182*$B$189,0)</f>
        <v>0.0</v>
      </c>
      <c r="E211" s="33">
        <f>IF(E$204=1,-$B$182*$B$189,0)</f>
        <v>0.0</v>
      </c>
      <c r="F211" s="33">
        <f>IF(F$204=1,-$B$182*$B$189,0)</f>
        <v>0.0</v>
      </c>
      <c r="G211" s="33">
        <f>IF(G$204=1,-$B$182*$B$189,0)</f>
        <v>0.0</v>
      </c>
      <c r="H211" s="33">
        <f>IF(H$204=1,-$B$182*$B$189,0)</f>
        <v>0.0</v>
      </c>
      <c r="I211" s="33">
        <f>IF(I$204=1,-$B$182*$B$189,0)</f>
        <v>0.0</v>
      </c>
      <c r="J211" s="33">
        <f>IF(J$204=1,-$B$182*$B$189,0)</f>
        <v>0.0</v>
      </c>
      <c r="K211" s="33">
        <f>IF(K$204=1,-$B$182*$B$189,0)</f>
        <v>0.0</v>
      </c>
      <c r="L211" s="33">
        <f>IF(L$204=1,-$B$182*$B$189,0)</f>
        <v>0.0</v>
      </c>
      <c r="M211" s="33">
        <f>IF(M$204=1,-$B$182*$B$189,0)</f>
        <v>0.0</v>
      </c>
      <c r="N211" s="33">
        <f>IF(N$204=1,-$B$182*$B$189,0)</f>
        <v>0.0</v>
      </c>
      <c r="O211" s="33">
        <f>IF(O$204=1,-$B$182*$B$189,0)</f>
        <v>0.0</v>
      </c>
      <c r="P211" s="33">
        <f>IF(P$204=1,-$B$182*$B$189,0)</f>
        <v>0.0</v>
      </c>
      <c r="Q211" s="33">
        <f>IF(Q$204=1,-$B$182*$B$189,0)</f>
        <v>0.0</v>
      </c>
      <c r="R211" s="33">
        <f>IF(R$204=1,-$B$182*$B$189,0)</f>
        <v>0.0</v>
      </c>
      <c r="S211" s="33">
        <f>IF(S$204=1,-$B$182*$B$189,0)</f>
        <v>0.0</v>
      </c>
      <c r="T211" s="33">
        <f>IF(T$204=1,-$B$182*$B$189,0)</f>
        <v>0.0</v>
      </c>
      <c r="U211" s="33">
        <f>IF(U$204=1,-$B$182*$B$189,0)</f>
        <v>0.0</v>
      </c>
      <c r="V211" s="33">
        <f>IF(V$204=1,-$B$182*$B$189,0)</f>
        <v>0.0</v>
      </c>
      <c r="W211" s="33">
        <f>IF(W$204=1,-$B$182*$B$189,0)</f>
        <v>0.0</v>
      </c>
      <c r="X211" s="33">
        <f>IF(X$204=1,-$B$182*$B$189,0)</f>
        <v>0.0</v>
      </c>
      <c r="Y211" s="33">
        <f>IF(Y$204=1,-$B$182*$B$189,0)</f>
        <v>0.0</v>
      </c>
      <c r="Z211" s="33">
        <f>IF(Z$204=1,-$B$182*$B$189,0)</f>
        <v>0.0</v>
      </c>
    </row>
    <row r="212">
      <c r="A212" s="3" t="inlineStr">
        <is>
          <t>Net contribution after CAC</t>
        </is>
      </c>
      <c r="B212" s="30">
        <f>SUM(C212:Z212)</f>
        <v>9950.50405058619</v>
      </c>
      <c r="C212" s="33">
        <f>C210+C211</f>
        <v>2941.092475555555</v>
      </c>
      <c r="D212" s="33">
        <f>D210+D211</f>
        <v>768.0349482840002</v>
      </c>
      <c r="E212" s="33">
        <f>E210+E211</f>
        <v>399.8155533992295</v>
      </c>
      <c r="F212" s="33">
        <f>F210+F211</f>
        <v>592.2203345382072</v>
      </c>
      <c r="G212" s="33">
        <f>G210+G211</f>
        <v>365.52814942085223</v>
      </c>
      <c r="H212" s="33">
        <f>H210+H211</f>
        <v>475.46301235024214</v>
      </c>
      <c r="I212" s="33">
        <f>I210+I211</f>
        <v>334.1811664980875</v>
      </c>
      <c r="J212" s="33">
        <f>J210+J211</f>
        <v>395.1064343588114</v>
      </c>
      <c r="K212" s="33">
        <f>K210+K211</f>
        <v>305.52243984208906</v>
      </c>
      <c r="L212" s="33">
        <f>L210+L211</f>
        <v>337.4737981994118</v>
      </c>
      <c r="M212" s="33">
        <f>M210+M211</f>
        <v>279.3214298256905</v>
      </c>
      <c r="N212" s="33">
        <f>N210+N211</f>
        <v>294.2832556141322</v>
      </c>
      <c r="O212" s="33">
        <f>O210+O211</f>
        <v>255.36736745161312</v>
      </c>
      <c r="P212" s="33">
        <f>P210+P211</f>
        <v>260.4964284257344</v>
      </c>
      <c r="Q212" s="33">
        <f>Q210+Q211</f>
        <v>233.4675588617129</v>
      </c>
      <c r="R212" s="33">
        <f>R210+R211</f>
        <v>233.02696089913536</v>
      </c>
      <c r="S212" s="33">
        <f>S210+S211</f>
        <v>213.44583524821493</v>
      </c>
      <c r="T212" s="33">
        <f>T210+T211</f>
        <v>209.96514172168517</v>
      </c>
      <c r="U212" s="33">
        <f>U210+U211</f>
        <v>195.14113569754505</v>
      </c>
      <c r="V212" s="33">
        <f>V210+V211</f>
        <v>190.11221144301587</v>
      </c>
      <c r="W212" s="33">
        <f>W210+W211</f>
        <v>178.40621156671722</v>
      </c>
      <c r="X212" s="33">
        <f>X210+X211</f>
        <v>172.70052113230307</v>
      </c>
      <c r="Y212" s="33">
        <f>Y210+Y211</f>
        <v>163.1064419698808</v>
      </c>
      <c r="Z212" s="33">
        <f>Z210+Z211</f>
        <v>157.22523828232366</v>
      </c>
    </row>
    <row r="213">
      <c r="A213" s="16" t="inlineStr">
        <is>
          <t>CUMULATIVE contribution after CAC</t>
        </is>
      </c>
      <c r="C213" s="49">
        <f>C212</f>
        <v>2941.092475555555</v>
      </c>
      <c r="D213" s="49">
        <f>C213+D212</f>
        <v>3709.1274238395554</v>
      </c>
      <c r="E213" s="49">
        <f>D213+E212</f>
        <v>4108.942977238785</v>
      </c>
      <c r="F213" s="49">
        <f>E213+F212</f>
        <v>4701.1633117769925</v>
      </c>
      <c r="G213" s="49">
        <f>F213+G212</f>
        <v>5066.691461197845</v>
      </c>
      <c r="H213" s="49">
        <f>G213+H212</f>
        <v>5542.154473548087</v>
      </c>
      <c r="I213" s="49">
        <f>H213+I212</f>
        <v>5876.335640046174</v>
      </c>
      <c r="J213" s="49">
        <f>I213+J212</f>
        <v>6271.442074404986</v>
      </c>
      <c r="K213" s="49">
        <f>J213+K212</f>
        <v>6576.9645142470745</v>
      </c>
      <c r="L213" s="49">
        <f>K213+L212</f>
        <v>6914.438312446487</v>
      </c>
      <c r="M213" s="49">
        <f>L213+M212</f>
        <v>7193.759742272177</v>
      </c>
      <c r="N213" s="49">
        <f>M213+N212</f>
        <v>7488.042997886309</v>
      </c>
      <c r="O213" s="49">
        <f>N213+O212</f>
        <v>7743.4103653379225</v>
      </c>
      <c r="P213" s="49">
        <f>O213+P212</f>
        <v>8003.906793763657</v>
      </c>
      <c r="Q213" s="49">
        <f>P213+Q212</f>
        <v>8237.374352625371</v>
      </c>
      <c r="R213" s="49">
        <f>Q213+R212</f>
        <v>8470.401313524506</v>
      </c>
      <c r="S213" s="49">
        <f>R213+S212</f>
        <v>8683.84714877272</v>
      </c>
      <c r="T213" s="49">
        <f>S213+T212</f>
        <v>8893.812290494405</v>
      </c>
      <c r="U213" s="49">
        <f>T213+U212</f>
        <v>9088.95342619195</v>
      </c>
      <c r="V213" s="49">
        <f>U213+V212</f>
        <v>9279.065637634967</v>
      </c>
      <c r="W213" s="49">
        <f>V213+W212</f>
        <v>9457.471849201684</v>
      </c>
      <c r="X213" s="49">
        <f>W213+X212</f>
        <v>9630.172370333987</v>
      </c>
      <c r="Y213" s="49">
        <f>X213+Y212</f>
        <v>9793.278812303868</v>
      </c>
      <c r="Z213" s="49">
        <f>Y213+Z212</f>
        <v>9950.504050586193</v>
      </c>
    </row>
    <row r="214">
      <c r="A214" s="3" t="inlineStr">
        <is>
          <t>Cumulative contribution before CAC, per customer</t>
        </is>
      </c>
      <c r="C214" s="26">
        <f>SUM($C210:C210)/$B$182</f>
        <v>59.410924755555556</v>
      </c>
      <c r="D214" s="26">
        <f>SUM($C210:D210)/$B$182</f>
        <v>67.09127423839556</v>
      </c>
      <c r="E214" s="26">
        <f>SUM($C210:E210)/$B$182</f>
        <v>71.08942977238785</v>
      </c>
      <c r="F214" s="26">
        <f>SUM($C210:F210)/$B$182</f>
        <v>77.01163311776992</v>
      </c>
      <c r="G214" s="26">
        <f>SUM($C210:G210)/$B$182</f>
        <v>80.66691461197844</v>
      </c>
      <c r="H214" s="26">
        <f>SUM($C210:H210)/$B$182</f>
        <v>85.42154473548085</v>
      </c>
      <c r="I214" s="26">
        <f>SUM($C210:I210)/$B$182</f>
        <v>88.76335640046175</v>
      </c>
      <c r="J214" s="26">
        <f>SUM($C210:J210)/$B$182</f>
        <v>92.71442074404986</v>
      </c>
      <c r="K214" s="26">
        <f>SUM($C210:K210)/$B$182</f>
        <v>95.76964514247075</v>
      </c>
      <c r="L214" s="26">
        <f>SUM($C210:L210)/$B$182</f>
        <v>99.14438312446485</v>
      </c>
      <c r="M214" s="26">
        <f>SUM($C210:M210)/$B$182</f>
        <v>101.93759742272178</v>
      </c>
      <c r="N214" s="26">
        <f>SUM($C210:N210)/$B$182</f>
        <v>104.88042997886309</v>
      </c>
      <c r="O214" s="26">
        <f>SUM($C210:O210)/$B$182</f>
        <v>107.43410365337922</v>
      </c>
      <c r="P214" s="26">
        <f>SUM($C210:P210)/$B$182</f>
        <v>110.03906793763657</v>
      </c>
      <c r="Q214" s="26">
        <f>SUM($C210:Q210)/$B$182</f>
        <v>112.37374352625369</v>
      </c>
      <c r="R214" s="26">
        <f>SUM($C210:R210)/$B$182</f>
        <v>114.70401313524503</v>
      </c>
      <c r="S214" s="26">
        <f>SUM($C210:S210)/$B$182</f>
        <v>116.8384714877272</v>
      </c>
      <c r="T214" s="26">
        <f>SUM($C210:T210)/$B$182</f>
        <v>118.93812290494405</v>
      </c>
      <c r="U214" s="26">
        <f>SUM($C210:U210)/$B$182</f>
        <v>120.88953426191951</v>
      </c>
      <c r="V214" s="26">
        <f>SUM($C210:V210)/$B$182</f>
        <v>122.79065637634966</v>
      </c>
      <c r="W214" s="26">
        <f>SUM($C210:W210)/$B$182</f>
        <v>124.57471849201684</v>
      </c>
      <c r="X214" s="26">
        <f>SUM($C210:X210)/$B$182</f>
        <v>126.30172370333986</v>
      </c>
      <c r="Y214" s="26">
        <f>SUM($C210:Y210)/$B$182</f>
        <v>127.93278812303866</v>
      </c>
      <c r="Z214" s="26">
        <f>SUM($C210:Z210)/$B$182</f>
        <v>129.5050405058619</v>
      </c>
    </row>
    <row r="215">
      <c r="A215" s="3" t="inlineStr">
        <is>
          <t>Gross revenue (reference only - NOT used for LTV)</t>
        </is>
      </c>
      <c r="B215" s="30">
        <f>SUM(C215:Z215)</f>
        <v>25366.2311975854</v>
      </c>
      <c r="C215" s="50">
        <f>IF(C$204=1,$B$182*$B$200,0)+C205*$B$201+C206*$B$202</f>
        <v>10988.774999999998</v>
      </c>
      <c r="D215" s="50">
        <f>IF(D$204=1,$B$182*$B$200,0)+D205*$B$201+D206*$B$202</f>
        <v>1527.3679920000002</v>
      </c>
      <c r="E215" s="50">
        <f>IF(E$204=1,$B$182*$B$200,0)+E205*$B$201+E206*$B$202</f>
        <v>829.4860032307201</v>
      </c>
      <c r="F215" s="50">
        <f>IF(F$204=1,$B$182*$B$200,0)+F205*$B$201+F206*$B$202</f>
        <v>1189.0313368490854</v>
      </c>
      <c r="G215" s="50">
        <f>IF(G$204=1,$B$182*$B$200,0)+G205*$B$201+G206*$B$202</f>
        <v>758.3508974416214</v>
      </c>
      <c r="H215" s="50">
        <f>IF(H$204=1,$B$182*$B$200,0)+H205*$B$201+H206*$B$202</f>
        <v>962.6507940977808</v>
      </c>
      <c r="I215" s="50">
        <f>IF(I$204=1,$B$182*$B$200,0)+I205*$B$201+I206*$B$202</f>
        <v>693.3161999245341</v>
      </c>
      <c r="J215" s="50">
        <f>IF(J$204=1,$B$182*$B$200,0)+J205*$B$201+J206*$B$202</f>
        <v>805.4488177198425</v>
      </c>
      <c r="K215" s="50">
        <f>IF(K$204=1,$B$182*$B$200,0)+K205*$B$201+K206*$B$202</f>
        <v>633.8587515350047</v>
      </c>
      <c r="L215" s="50">
        <f>IF(L$204=1,$B$182*$B$200,0)+L205*$B$201+L206*$B$202</f>
        <v>691.58694386771</v>
      </c>
      <c r="M215" s="50">
        <f>IF(M$204=1,$B$182*$B$200,0)+M205*$B$201+M206*$B$202</f>
        <v>579.5002582389496</v>
      </c>
      <c r="N215" s="50">
        <f>IF(N$204=1,$B$182*$B$200,0)+N205*$B$201+N206*$B$202</f>
        <v>605.404902917754</v>
      </c>
      <c r="O215" s="50">
        <f>IF(O$204=1,$B$182*$B$200,0)+O205*$B$201+O206*$B$202</f>
        <v>529.8034435680797</v>
      </c>
      <c r="P215" s="50">
        <f>IF(P$204=1,$B$182*$B$200,0)+P205*$B$201+P206*$B$202</f>
        <v>537.3628222020551</v>
      </c>
      <c r="Q215" s="50">
        <f>IF(Q$204=1,$B$182*$B$200,0)+Q205*$B$201+Q206*$B$202</f>
        <v>484.36853103326104</v>
      </c>
      <c r="R215" s="50">
        <f>IF(R$204=1,$B$182*$B$200,0)+R205*$B$201+R206*$B$202</f>
        <v>481.6053915927628</v>
      </c>
      <c r="S215" s="50">
        <f>IF(S$204=1,$B$182*$B$200,0)+S205*$B$201+S206*$B$202</f>
        <v>442.8300281992626</v>
      </c>
      <c r="T215" s="50">
        <f>IF(T$204=1,$B$182*$B$200,0)+T205*$B$201+T206*$B$202</f>
        <v>434.4993059390069</v>
      </c>
      <c r="U215" s="50">
        <f>IF(U$204=1,$B$182*$B$200,0)+U205*$B$201+U206*$B$202</f>
        <v>404.8537865509967</v>
      </c>
      <c r="V215" s="50">
        <f>IF(V$204=1,$B$182*$B$200,0)+V205*$B$201+V206*$B$202</f>
        <v>393.75476425420095</v>
      </c>
      <c r="W215" s="50">
        <f>IF(W$204=1,$B$182*$B$200,0)+W205*$B$201+W206*$B$202</f>
        <v>370.1343134999103</v>
      </c>
      <c r="X215" s="50">
        <f>IF(X$204=1,$B$182*$B$200,0)+X205*$B$201+X206*$B$202</f>
        <v>357.8974858194343</v>
      </c>
      <c r="Y215" s="50">
        <f>IF(Y$204=1,$B$182*$B$200,0)+Y205*$B$201+Y206*$B$202</f>
        <v>338.3923149074784</v>
      </c>
      <c r="Z215" s="50">
        <f>IF(Z$204=1,$B$182*$B$200,0)+Z205*$B$201+Z206*$B$202</f>
        <v>325.95111219595054</v>
      </c>
    </row>
    <row r="216">
      <c r="A216" s="3" t="inlineStr">
        <is>
          <t>Payback helper (month if cumulative &gt;= 0, else 99)</t>
        </is>
      </c>
      <c r="C216" s="51">
        <f>IF(C213&gt;=0,C$204,99)</f>
        <v>1.0</v>
      </c>
      <c r="D216" s="51">
        <f>IF(D213&gt;=0,D$204,99)</f>
        <v>2.0</v>
      </c>
      <c r="E216" s="51">
        <f>IF(E213&gt;=0,E$204,99)</f>
        <v>3.0</v>
      </c>
      <c r="F216" s="51">
        <f>IF(F213&gt;=0,F$204,99)</f>
        <v>4.0</v>
      </c>
      <c r="G216" s="51">
        <f>IF(G213&gt;=0,G$204,99)</f>
        <v>5.0</v>
      </c>
      <c r="H216" s="51">
        <f>IF(H213&gt;=0,H$204,99)</f>
        <v>6.0</v>
      </c>
      <c r="I216" s="51">
        <f>IF(I213&gt;=0,I$204,99)</f>
        <v>7.0</v>
      </c>
      <c r="J216" s="51">
        <f>IF(J213&gt;=0,J$204,99)</f>
        <v>8.0</v>
      </c>
      <c r="K216" s="51">
        <f>IF(K213&gt;=0,K$204,99)</f>
        <v>9.0</v>
      </c>
      <c r="L216" s="51">
        <f>IF(L213&gt;=0,L$204,99)</f>
        <v>10.0</v>
      </c>
      <c r="M216" s="51">
        <f>IF(M213&gt;=0,M$204,99)</f>
        <v>11.0</v>
      </c>
      <c r="N216" s="51">
        <f>IF(N213&gt;=0,N$204,99)</f>
        <v>12.0</v>
      </c>
      <c r="O216" s="51">
        <f>IF(O213&gt;=0,O$204,99)</f>
        <v>13.0</v>
      </c>
      <c r="P216" s="51">
        <f>IF(P213&gt;=0,P$204,99)</f>
        <v>14.0</v>
      </c>
      <c r="Q216" s="51">
        <f>IF(Q213&gt;=0,Q$204,99)</f>
        <v>15.0</v>
      </c>
      <c r="R216" s="51">
        <f>IF(R213&gt;=0,R$204,99)</f>
        <v>16.0</v>
      </c>
      <c r="S216" s="51">
        <f>IF(S213&gt;=0,S$204,99)</f>
        <v>17.0</v>
      </c>
      <c r="T216" s="51">
        <f>IF(T213&gt;=0,T$204,99)</f>
        <v>18.0</v>
      </c>
      <c r="U216" s="51">
        <f>IF(U213&gt;=0,U$204,99)</f>
        <v>19.0</v>
      </c>
      <c r="V216" s="51">
        <f>IF(V213&gt;=0,V$204,99)</f>
        <v>20.0</v>
      </c>
      <c r="W216" s="51">
        <f>IF(W213&gt;=0,W$204,99)</f>
        <v>21.0</v>
      </c>
      <c r="X216" s="51">
        <f>IF(X213&gt;=0,X$204,99)</f>
        <v>22.0</v>
      </c>
      <c r="Y216" s="51">
        <f>IF(Y213&gt;=0,Y$204,99)</f>
        <v>23.0</v>
      </c>
      <c r="Z216" s="51">
        <f>IF(Z213&gt;=0,Z$204,99)</f>
        <v>24.0</v>
      </c>
    </row>
    <row r="218">
      <c r="A218" s="16" t="inlineStr">
        <is>
          <t>FIRST-ORDER contribution before ads, per customer</t>
        </is>
      </c>
      <c r="B218" s="42">
        <f>$B$188</f>
        <v>59.41092475555555</v>
      </c>
    </row>
    <row r="219">
      <c r="A219" s="16" t="inlineStr">
        <is>
          <t>FIRST-ORDER contribution after CAC, per customer</t>
        </is>
      </c>
      <c r="B219" s="42">
        <f>$B$188-$B$189</f>
        <v>29.41092475555555</v>
      </c>
    </row>
    <row r="220">
      <c r="A220" s="16" t="inlineStr">
        <is>
          <t>Is the first order profitable after CAC?</t>
        </is>
      </c>
      <c r="B220" s="52" t="str">
        <f>IF(B219&gt;=0,"YES - first order covers CAC","NO - first order loses money after CAC")</f>
        <v>YES - first order covers CAC</v>
      </c>
    </row>
    <row r="221">
      <c r="A221" s="3" t="inlineStr">
        <is>
          <t>Payback month (numeric; 99 = none within 24 months)</t>
        </is>
      </c>
      <c r="B221" s="41">
        <f>MIN(C216:Z216)</f>
        <v>1.0</v>
      </c>
    </row>
    <row r="222">
      <c r="A222" s="16" t="inlineStr">
        <is>
          <t>Payback (display)</t>
        </is>
      </c>
      <c r="B222" s="52" t="str">
        <f>IF(B221&gt;24,"No payback within 24 months","Month "&amp;B221)</f>
        <v>Month 1</v>
      </c>
    </row>
    <row r="223">
      <c r="A223" s="16" t="inlineStr">
        <is>
          <t>12-month contribution LTV per customer (before CAC)</t>
        </is>
      </c>
      <c r="B223" s="42">
        <f>SUM(C210:N210)/$B$182</f>
        <v>104.88042997886309</v>
      </c>
    </row>
    <row r="224">
      <c r="A224" s="16" t="inlineStr">
        <is>
          <t>24-month contribution LTV per customer (before CAC)</t>
        </is>
      </c>
      <c r="B224" s="42">
        <f>SUM(C210:Z210)/$B$182</f>
        <v>129.5050405058619</v>
      </c>
    </row>
    <row r="225">
      <c r="A225" s="16" t="inlineStr">
        <is>
          <t>12-month contribution LTV net of CAC</t>
        </is>
      </c>
      <c r="B225" s="42">
        <f>B223-$B$189</f>
        <v>74.88042997886309</v>
      </c>
    </row>
    <row r="226">
      <c r="A226" s="3" t="inlineStr">
        <is>
          <t>24-month contribution LTV net of CAC</t>
        </is>
      </c>
      <c r="B226" s="26">
        <f>B224-$B$189</f>
        <v>99.5050405058619</v>
      </c>
    </row>
    <row r="227">
      <c r="A227" s="16" t="inlineStr">
        <is>
          <t>12-month LTV:CAC (contribution basis)</t>
        </is>
      </c>
      <c r="B227" s="53">
        <f>IFERROR(B223/$B$189,0)</f>
        <v>3.4960143326287696</v>
      </c>
    </row>
    <row r="228">
      <c r="A228" s="3" t="inlineStr">
        <is>
          <t>24-month LTV:CAC</t>
        </is>
      </c>
      <c r="B228" s="37">
        <f>IFERROR(B224/$B$189,0)</f>
        <v>4.31683468352873</v>
      </c>
    </row>
    <row r="229">
      <c r="A229" s="3" t="inlineStr">
        <is>
          <t>12-month LTV : blended CAC (info only)</t>
        </is>
      </c>
      <c r="B229" s="37">
        <f>IFERROR(B223/($B$189*Inputs!$F$121),0)</f>
        <v>4.661352443505026</v>
      </c>
    </row>
    <row r="230">
      <c r="A230" s="3" t="inlineStr">
        <is>
          <t>Cohort contribution from subscription renewals, months 1-24</t>
        </is>
      </c>
      <c r="B230" s="33">
        <f>B205*$B$190</f>
        <v>6136.596086623239</v>
      </c>
    </row>
    <row r="231">
      <c r="A231" s="3" t="inlineStr">
        <is>
          <t>Renewal contribution per subscriber, 12 months</t>
        </is>
      </c>
      <c r="B231" s="26">
        <f>IFERROR(SUM(C205:N205)*$B$190/$B$185,0)</f>
        <v>148.52167502955012</v>
      </c>
    </row>
    <row r="232">
      <c r="A232" s="3" t="inlineStr">
        <is>
          <t>Repeat contribution per occasional buyer, 12 months</t>
        </is>
      </c>
      <c r="B232" s="26">
        <f>IFERROR(SUM(C206:N206)*$B$191/$B$186,0)</f>
        <v>55.593909772800004</v>
      </c>
    </row>
    <row r="233">
      <c r="A233" s="3" t="inlineStr">
        <is>
          <t>Orders per acquired customer, 12 months</t>
        </is>
      </c>
      <c r="B233" s="11">
        <f>($B$182+SUM(C205:N205)+SUM(C206:N206))/$B$182</f>
        <v>3.3032347978639094</v>
      </c>
    </row>
    <row r="234">
      <c r="A234" s="3" t="inlineStr">
        <is>
          <t>Renewal contribution per subscriber, 24 months</t>
        </is>
      </c>
      <c r="B234" s="26">
        <f>IFERROR(SUM(C205:Z205)*$B$190/$B$185,0)</f>
        <v>245.46384346492957</v>
      </c>
    </row>
    <row r="235">
      <c r="A235" s="3" t="inlineStr">
        <is>
          <t>Repeat contribution per occasional buyer, 24 months</t>
        </is>
      </c>
      <c r="B235" s="26">
        <f>IFERROR(SUM(C206:Z206)*$B$191/$B$186,0)</f>
        <v>58.18769922715977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5" t="inlineStr">
        <is>
          <t>Scenarios: Pessimistic / Base / Optimistic computed side by side (independent of the selector)</t>
        </is>
      </c>
    </row>
    <row r="2">
      <c r="A2" s="2" t="str">
        <f>"Every column is computed by its own engine group. First-order and cohort stage follow Inputs!D4: "&amp;Inputs!$E$4</f>
        <v>Every column is computed by its own engine group. First-order and cohort stage follow Inputs!D4: Private label (OEM + 3PL, CPA months 4-12)</v>
      </c>
    </row>
    <row r="4">
      <c r="A4" s="18" t="inlineStr">
        <is>
          <t>Metric</t>
        </is>
      </c>
      <c r="B4" s="18" t="inlineStr">
        <is>
          <t>Pessimistic</t>
        </is>
      </c>
      <c r="C4" s="18" t="inlineStr">
        <is>
          <t>Base</t>
        </is>
      </c>
      <c r="D4" s="18" t="inlineStr">
        <is>
          <t>Optimistic</t>
        </is>
      </c>
      <c r="E4" s="18" t="inlineStr">
        <is>
          <t>Unit</t>
        </is>
      </c>
    </row>
    <row r="5">
      <c r="A5" s="4" t="inlineStr">
        <is>
          <t>CAT HOME - BASE CASE (corded stainless fountain + 90-day filter pack)</t>
        </is>
      </c>
      <c r="B5" s="5" t="n"/>
      <c r="C5" s="5" t="n"/>
      <c r="D5" s="5" t="n"/>
      <c r="E5" s="5" t="n"/>
    </row>
    <row r="6">
      <c r="A6" s="3" t="inlineStr">
        <is>
          <t>Fountain price</t>
        </is>
      </c>
      <c r="B6" s="39">
        <f>Inputs!$D$11</f>
        <v>44.99</v>
      </c>
      <c r="C6" s="39">
        <f>Inputs!$E$11</f>
        <v>49.99</v>
      </c>
      <c r="D6" s="39">
        <f>Inputs!$F$11</f>
        <v>59.99</v>
      </c>
      <c r="E6" s="2" t="inlineStr">
        <is>
          <t>input</t>
        </is>
      </c>
    </row>
    <row r="7">
      <c r="A7" s="3" t="inlineStr">
        <is>
          <t>Filter pack subscription price</t>
        </is>
      </c>
      <c r="B7" s="39">
        <f>Inputs!$D$14</f>
        <v>12.7415</v>
      </c>
      <c r="C7" s="39">
        <f>Inputs!$E$14</f>
        <v>15.290999999999999</v>
      </c>
      <c r="D7" s="39">
        <f>Inputs!$F$14</f>
        <v>15.741</v>
      </c>
      <c r="E7" s="2" t="inlineStr">
        <is>
          <t>input</t>
        </is>
      </c>
    </row>
    <row r="8">
      <c r="A8" s="3" t="inlineStr">
        <is>
          <t>Paid CPA months 1-3</t>
        </is>
      </c>
      <c r="B8" s="39">
        <f>Inputs!$D$111</f>
        <v>90.0</v>
      </c>
      <c r="C8" s="39">
        <f>Inputs!$E$111</f>
        <v>60.0</v>
      </c>
      <c r="D8" s="39">
        <f>Inputs!$F$111</f>
        <v>40.0</v>
      </c>
      <c r="E8" s="2" t="inlineStr">
        <is>
          <t>input</t>
        </is>
      </c>
    </row>
    <row r="9">
      <c r="A9" s="3" t="inlineStr">
        <is>
          <t>Paid CPA months 4-12</t>
        </is>
      </c>
      <c r="B9" s="39">
        <f>Inputs!$D$112</f>
        <v>65.0</v>
      </c>
      <c r="C9" s="39">
        <f>Inputs!$E$112</f>
        <v>45.0</v>
      </c>
      <c r="D9" s="39">
        <f>Inputs!$F$112</f>
        <v>32.0</v>
      </c>
      <c r="E9" s="2" t="inlineStr">
        <is>
          <t>input</t>
        </is>
      </c>
    </row>
    <row r="10">
      <c r="A10" s="3" t="inlineStr">
        <is>
          <t>Subscription attach</t>
        </is>
      </c>
      <c r="B10" s="45">
        <f>Inputs!$D$133</f>
        <v>0.1</v>
      </c>
      <c r="C10" s="45">
        <f>Inputs!$E$133</f>
        <v>0.2</v>
      </c>
      <c r="D10" s="45">
        <f>Inputs!$F$133</f>
        <v>0.3</v>
      </c>
      <c r="E10" s="2" t="inlineStr">
        <is>
          <t>input</t>
        </is>
      </c>
    </row>
    <row r="11">
      <c r="A11" s="3" t="inlineStr">
        <is>
          <t>Later-cycle churn, monthly equivalent</t>
        </is>
      </c>
      <c r="B11" s="45">
        <f>Inputs!$D$138</f>
        <v>0.09654527819338055</v>
      </c>
      <c r="C11" s="45">
        <f>Inputs!$E$138</f>
        <v>0.05936264047439177</v>
      </c>
      <c r="D11" s="45">
        <f>Inputs!$F$138</f>
        <v>0.034824100090023236</v>
      </c>
      <c r="E11" s="2" t="inlineStr">
        <is>
          <t>input</t>
        </is>
      </c>
    </row>
    <row r="12">
      <c r="A12" s="3" t="inlineStr">
        <is>
          <t>(a) Fountain - test stage: contribution before ads</t>
        </is>
      </c>
      <c r="B12" s="39">
        <f>Cat_UnitEcon!$H$50</f>
        <v>-15.23547</v>
      </c>
      <c r="C12" s="39">
        <f>Cat_UnitEcon!$N$50</f>
        <v>3.7032900000000026</v>
      </c>
      <c r="D12" s="39">
        <f>Cat_UnitEcon!$T$50</f>
        <v>32.885555</v>
      </c>
      <c r="E12" s="2" t="inlineStr">
        <is>
          <t>$/order</t>
        </is>
      </c>
    </row>
    <row r="13">
      <c r="A13" s="3" t="inlineStr">
        <is>
          <t>(a) Fountain - test stage: contribution after CPA</t>
        </is>
      </c>
      <c r="B13" s="39">
        <f>Cat_UnitEcon!$H$53</f>
        <v>-105.23546999999999</v>
      </c>
      <c r="C13" s="39">
        <f>Cat_UnitEcon!$N$53</f>
        <v>-56.29671</v>
      </c>
      <c r="D13" s="39">
        <f>Cat_UnitEcon!$T$53</f>
        <v>-7.1144450000000035</v>
      </c>
      <c r="E13" s="2" t="inlineStr">
        <is>
          <t>$/order</t>
        </is>
      </c>
    </row>
    <row r="14">
      <c r="A14" s="3" t="inlineStr">
        <is>
          <t>(b) Fountain - private label: contribution before ads</t>
        </is>
      </c>
      <c r="B14" s="39">
        <f>Cat_UnitEcon!$I$50</f>
        <v>-23.955647375000012</v>
      </c>
      <c r="C14" s="39">
        <f>Cat_UnitEcon!$O$50</f>
        <v>2.080318825000006</v>
      </c>
      <c r="D14" s="39">
        <f>Cat_UnitEcon!$U$50</f>
        <v>26.347737744444448</v>
      </c>
      <c r="E14" s="2" t="inlineStr">
        <is>
          <t>$/order</t>
        </is>
      </c>
    </row>
    <row r="15">
      <c r="A15" s="3" t="inlineStr">
        <is>
          <t>(b) Fountain - private label: contribution after CPA</t>
        </is>
      </c>
      <c r="B15" s="39">
        <f>Cat_UnitEcon!$I$53</f>
        <v>-88.95564737500001</v>
      </c>
      <c r="C15" s="39">
        <f>Cat_UnitEcon!$O$53</f>
        <v>-42.919681174999994</v>
      </c>
      <c r="D15" s="39">
        <f>Cat_UnitEcon!$U$53</f>
        <v>-5.652262255555552</v>
      </c>
      <c r="E15" s="2" t="inlineStr">
        <is>
          <t>$/order</t>
        </is>
      </c>
    </row>
    <row r="16">
      <c r="A16" s="3" t="inlineStr">
        <is>
          <t>(c) Fountain + mat bundle - PL: contribution before ads</t>
        </is>
      </c>
      <c r="B16" s="39">
        <f>Cat_UnitEcon!$J$50</f>
        <v>-17.964537375</v>
      </c>
      <c r="C16" s="39">
        <f>Cat_UnitEcon!$P$50</f>
        <v>13.755828825000009</v>
      </c>
      <c r="D16" s="39">
        <f>Cat_UnitEcon!$V$50</f>
        <v>43.351692744444456</v>
      </c>
      <c r="E16" s="2" t="inlineStr">
        <is>
          <t>$/order</t>
        </is>
      </c>
    </row>
    <row r="17">
      <c r="A17" s="3" t="inlineStr">
        <is>
          <t>(c) Fountain + mat bundle - PL: contribution after CPA</t>
        </is>
      </c>
      <c r="B17" s="39">
        <f>Cat_UnitEcon!$J$53</f>
        <v>-82.96453737499999</v>
      </c>
      <c r="C17" s="39">
        <f>Cat_UnitEcon!$P$53</f>
        <v>-31.24417117499999</v>
      </c>
      <c r="D17" s="39">
        <f>Cat_UnitEcon!$V$53</f>
        <v>11.351692744444456</v>
      </c>
      <c r="E17" s="2" t="inlineStr">
        <is>
          <t>$/order</t>
        </is>
      </c>
    </row>
    <row r="18">
      <c r="A18" s="3" t="inlineStr">
        <is>
          <t>(d) Filter subscription renewal: contribution before ads</t>
        </is>
      </c>
      <c r="B18" s="39">
        <f>Cat_UnitEcon!$K$50</f>
        <v>-9.051782499999998</v>
      </c>
      <c r="C18" s="39">
        <f>Cat_UnitEcon!$Q$50</f>
        <v>-3.419322000000001</v>
      </c>
      <c r="D18" s="39">
        <f>Cat_UnitEcon!$W$50</f>
        <v>1.4220093148148134</v>
      </c>
      <c r="E18" s="2" t="inlineStr">
        <is>
          <t>$/order</t>
        </is>
      </c>
    </row>
    <row r="19">
      <c r="A19" s="3" t="inlineStr">
        <is>
          <t>(e) One-time filter repeat order: contribution before ads</t>
        </is>
      </c>
      <c r="B19" s="39">
        <f>Cat_UnitEcon!$L$50</f>
        <v>-6.926949999999998</v>
      </c>
      <c r="C19" s="39">
        <f>Cat_UnitEcon!$R$50</f>
        <v>-1.7916799999999995</v>
      </c>
      <c r="D19" s="39">
        <f>Cat_UnitEcon!$X$50</f>
        <v>6.977224814814811</v>
      </c>
      <c r="E19" s="2" t="inlineStr">
        <is>
          <t>$/order</t>
        </is>
      </c>
    </row>
    <row r="20">
      <c r="A20" s="3" t="inlineStr">
        <is>
          <t>Landed product cost, private label (per hero unit)</t>
        </is>
      </c>
      <c r="B20" s="39">
        <f>Cat_UnitEcon!$H$22</f>
        <v>41.200697500000004</v>
      </c>
      <c r="C20" s="39">
        <f>Cat_UnitEcon!$N$22</f>
        <v>25.9656225</v>
      </c>
      <c r="D20" s="39">
        <f>Cat_UnitEcon!$T$22</f>
        <v>15.60878</v>
      </c>
      <c r="E20" s="2" t="inlineStr">
        <is>
          <t>$/unit</t>
        </is>
      </c>
    </row>
    <row r="21">
      <c r="A21" s="16" t="inlineStr">
        <is>
          <t>FIRST-ORDER contribution before ads (cohort mix)</t>
        </is>
      </c>
      <c r="B21" s="55">
        <f>Cat_Cohort!$B$102</f>
        <v>-23.056980875000008</v>
      </c>
      <c r="C21" s="55">
        <f>Cat_Cohort!$B$160</f>
        <v>4.999196325000007</v>
      </c>
      <c r="D21" s="55">
        <f>Cat_Cohort!$B$218</f>
        <v>32.29912199444445</v>
      </c>
      <c r="E21" s="2" t="inlineStr">
        <is>
          <t>$/customer</t>
        </is>
      </c>
    </row>
    <row r="22">
      <c r="A22" s="16" t="inlineStr">
        <is>
          <t>FIRST-ORDER contribution after CAC</t>
        </is>
      </c>
      <c r="B22" s="55">
        <f>Cat_Cohort!$B$103</f>
        <v>-88.05698087500001</v>
      </c>
      <c r="C22" s="55">
        <f>Cat_Cohort!$B$161</f>
        <v>-40.00080367499999</v>
      </c>
      <c r="D22" s="55">
        <f>Cat_Cohort!$B$219</f>
        <v>0.2991219944444481</v>
      </c>
      <c r="E22" s="2" t="inlineStr">
        <is>
          <t>$/customer</t>
        </is>
      </c>
    </row>
    <row r="23">
      <c r="A23" s="3" t="inlineStr">
        <is>
          <t>First-order contribution margin before ads</t>
        </is>
      </c>
      <c r="B23" s="45">
        <f>Cat_UnitEcon!$H$62</f>
        <v>-0.5253556213006968</v>
      </c>
      <c r="C23" s="45">
        <f>Cat_UnitEcon!$N$62</f>
        <v>0.09533532822794158</v>
      </c>
      <c r="D23" s="45">
        <f>Cat_UnitEcon!$T$62</f>
        <v>0.48792744419028145</v>
      </c>
      <c r="E23" s="2" t="inlineStr">
        <is>
          <t>% net rev</t>
        </is>
      </c>
    </row>
    <row r="24">
      <c r="A24" s="16" t="inlineStr">
        <is>
          <t>12-month contribution LTV (before CAC)</t>
        </is>
      </c>
      <c r="B24" s="55">
        <f>Cat_Cohort!$B$107</f>
        <v>-25.481477828914276</v>
      </c>
      <c r="C24" s="55">
        <f>Cat_Cohort!$B$165</f>
        <v>3.1692859856986404</v>
      </c>
      <c r="D24" s="55">
        <f>Cat_Cohort!$B$223</f>
        <v>37.008534017366884</v>
      </c>
      <c r="E24" s="2" t="inlineStr">
        <is>
          <t>$/customer</t>
        </is>
      </c>
    </row>
    <row r="25">
      <c r="A25" s="3" t="inlineStr">
        <is>
          <t>24-month contribution LTV (before CAC)</t>
        </is>
      </c>
      <c r="B25" s="39">
        <f>Cat_Cohort!$B$108</f>
        <v>-26.376075250818534</v>
      </c>
      <c r="C25" s="39">
        <f>Cat_Cohort!$B$166</f>
        <v>2.149987212021046</v>
      </c>
      <c r="D25" s="39">
        <f>Cat_Cohort!$B$224</f>
        <v>39.086090575839464</v>
      </c>
      <c r="E25" s="2" t="inlineStr">
        <is>
          <t>$/customer</t>
        </is>
      </c>
    </row>
    <row r="26">
      <c r="A26" s="16" t="inlineStr">
        <is>
          <t>12-month LTV net of CAC</t>
        </is>
      </c>
      <c r="B26" s="55">
        <f>Cat_Cohort!$B$109</f>
        <v>-90.48147782891428</v>
      </c>
      <c r="C26" s="55">
        <f>Cat_Cohort!$B$167</f>
        <v>-41.83071401430136</v>
      </c>
      <c r="D26" s="55">
        <f>Cat_Cohort!$B$225</f>
        <v>5.008534017366884</v>
      </c>
      <c r="E26" s="2" t="inlineStr">
        <is>
          <t>$/customer</t>
        </is>
      </c>
    </row>
    <row r="27">
      <c r="A27" s="3" t="inlineStr">
        <is>
          <t>24-month LTV net of CAC</t>
        </is>
      </c>
      <c r="B27" s="39">
        <f>Cat_Cohort!$B$110</f>
        <v>-91.37607525081853</v>
      </c>
      <c r="C27" s="39">
        <f>Cat_Cohort!$B$168</f>
        <v>-42.850012787978955</v>
      </c>
      <c r="D27" s="39">
        <f>Cat_Cohort!$B$226</f>
        <v>7.086090575839464</v>
      </c>
      <c r="E27" s="2" t="inlineStr">
        <is>
          <t>$/customer</t>
        </is>
      </c>
    </row>
    <row r="28">
      <c r="A28" s="3" t="inlineStr">
        <is>
          <t>12-month LTV:CAC</t>
        </is>
      </c>
      <c r="B28" s="38">
        <f>Cat_Cohort!$B$111</f>
        <v>-0.3920227358294504</v>
      </c>
      <c r="C28" s="38">
        <f>Cat_Cohort!$B$169</f>
        <v>0.07042857745996979</v>
      </c>
      <c r="D28" s="38">
        <f>Cat_Cohort!$B$227</f>
        <v>1.1565166880427151</v>
      </c>
      <c r="E28" s="2" t="inlineStr">
        <is>
          <t>x</t>
        </is>
      </c>
    </row>
    <row r="29">
      <c r="A29" s="3" t="inlineStr">
        <is>
          <t>24-month LTV:CAC</t>
        </is>
      </c>
      <c r="B29" s="38">
        <f>Cat_Cohort!$B$112</f>
        <v>-0.4057857730895159</v>
      </c>
      <c r="C29" s="38">
        <f>Cat_Cohort!$B$170</f>
        <v>0.04777749360046769</v>
      </c>
      <c r="D29" s="38">
        <f>Cat_Cohort!$B$228</f>
        <v>1.2214403304949832</v>
      </c>
      <c r="E29" s="2" t="inlineStr">
        <is>
          <t>x</t>
        </is>
      </c>
    </row>
    <row r="30">
      <c r="A30" s="16" t="inlineStr">
        <is>
          <t>Payback</t>
        </is>
      </c>
      <c r="B30" s="56" t="str">
        <f>Cat_Cohort!$B$106</f>
        <v>No payback within 24 months</v>
      </c>
      <c r="C30" s="56" t="str">
        <f>Cat_Cohort!$B$164</f>
        <v>No payback within 24 months</v>
      </c>
      <c r="D30" s="56" t="str">
        <f>Cat_Cohort!$B$222</f>
        <v>Month 1</v>
      </c>
      <c r="E30" s="2" t="inlineStr"/>
    </row>
    <row r="31">
      <c r="A31" s="3" t="inlineStr">
        <is>
          <t>Cumulative cohort contribution after CAC, month 24 (100 customers)</t>
        </is>
      </c>
      <c r="B31" s="57">
        <f>Cat_Cohort!$Z$97</f>
        <v>-9137.607525081852</v>
      </c>
      <c r="C31" s="57">
        <f>Cat_Cohort!$Z$155</f>
        <v>-4285.001278797897</v>
      </c>
      <c r="D31" s="57">
        <f>Cat_Cohort!$Z$213</f>
        <v>708.6090575839469</v>
      </c>
      <c r="E31" s="2" t="inlineStr">
        <is>
          <t>$ per 100</t>
        </is>
      </c>
    </row>
    <row r="33">
      <c r="A33" s="4" t="inlineStr">
        <is>
          <t>ESPRESSO - SHADOW CASE (De'Longhi Dedica 51mm upgrade kit + beans)</t>
        </is>
      </c>
      <c r="B33" s="5" t="n"/>
      <c r="C33" s="5" t="n"/>
      <c r="D33" s="5" t="n"/>
      <c r="E33" s="5" t="n"/>
    </row>
    <row r="34">
      <c r="A34" s="3" t="inlineStr">
        <is>
          <t>Kit price</t>
        </is>
      </c>
      <c r="B34" s="39">
        <f>Inputs!$D$18</f>
        <v>74.99</v>
      </c>
      <c r="C34" s="39">
        <f>Inputs!$E$18</f>
        <v>84.99</v>
      </c>
      <c r="D34" s="39">
        <f>Inputs!$F$18</f>
        <v>99.99</v>
      </c>
      <c r="E34" s="2" t="inlineStr">
        <is>
          <t>input</t>
        </is>
      </c>
    </row>
    <row r="35">
      <c r="A35" s="3" t="inlineStr">
        <is>
          <t>Bean shipment subscription price</t>
        </is>
      </c>
      <c r="B35" s="39">
        <f>Inputs!$D$22</f>
        <v>34.191</v>
      </c>
      <c r="C35" s="39">
        <f>Inputs!$E$22</f>
        <v>35.991</v>
      </c>
      <c r="D35" s="39">
        <f>Inputs!$F$22</f>
        <v>39.591</v>
      </c>
      <c r="E35" s="2" t="inlineStr">
        <is>
          <t>input</t>
        </is>
      </c>
    </row>
    <row r="36">
      <c r="A36" s="3" t="inlineStr">
        <is>
          <t>Paid CPA months 1-3</t>
        </is>
      </c>
      <c r="B36" s="39">
        <f>Inputs!$D$113</f>
        <v>85.0</v>
      </c>
      <c r="C36" s="39">
        <f>Inputs!$E$113</f>
        <v>60.0</v>
      </c>
      <c r="D36" s="39">
        <f>Inputs!$F$113</f>
        <v>40.0</v>
      </c>
      <c r="E36" s="2" t="inlineStr">
        <is>
          <t>input</t>
        </is>
      </c>
    </row>
    <row r="37">
      <c r="A37" s="3" t="inlineStr">
        <is>
          <t>Paid CPA months 4-12</t>
        </is>
      </c>
      <c r="B37" s="39">
        <f>Inputs!$D$114</f>
        <v>64.0</v>
      </c>
      <c r="C37" s="39">
        <f>Inputs!$E$114</f>
        <v>45.0</v>
      </c>
      <c r="D37" s="39">
        <f>Inputs!$F$114</f>
        <v>30.0</v>
      </c>
      <c r="E37" s="2" t="inlineStr">
        <is>
          <t>input</t>
        </is>
      </c>
    </row>
    <row r="38">
      <c r="A38" s="3" t="inlineStr">
        <is>
          <t>Bean subscription attach</t>
        </is>
      </c>
      <c r="B38" s="45">
        <f>Inputs!$D$144</f>
        <v>0.08</v>
      </c>
      <c r="C38" s="45">
        <f>Inputs!$E$144</f>
        <v>0.15</v>
      </c>
      <c r="D38" s="45">
        <f>Inputs!$F$144</f>
        <v>0.25</v>
      </c>
      <c r="E38" s="2" t="inlineStr">
        <is>
          <t>input</t>
        </is>
      </c>
    </row>
    <row r="39">
      <c r="A39" s="3" t="inlineStr">
        <is>
          <t>Monthly bean churn (voluntary)</t>
        </is>
      </c>
      <c r="B39" s="45">
        <f>Inputs!$D$146</f>
        <v>0.1</v>
      </c>
      <c r="C39" s="45">
        <f>Inputs!$E$146</f>
        <v>0.07</v>
      </c>
      <c r="D39" s="45">
        <f>Inputs!$F$146</f>
        <v>0.04</v>
      </c>
      <c r="E39" s="2" t="inlineStr">
        <is>
          <t>input</t>
        </is>
      </c>
    </row>
    <row r="40">
      <c r="A40" s="3" t="inlineStr">
        <is>
          <t>(a) Kit - test stage: contribution before ads</t>
        </is>
      </c>
      <c r="B40" s="39">
        <f>Espresso_UnitEcon!$H$50</f>
        <v>-40.326806000000005</v>
      </c>
      <c r="C40" s="39">
        <f>Espresso_UnitEcon!$N$50</f>
        <v>14.623739999999998</v>
      </c>
      <c r="D40" s="39">
        <f>Espresso_UnitEcon!$T$50</f>
        <v>59.05398499999999</v>
      </c>
      <c r="E40" s="2" t="inlineStr">
        <is>
          <t>$/order</t>
        </is>
      </c>
    </row>
    <row r="41">
      <c r="A41" s="3" t="inlineStr">
        <is>
          <t>(a) Kit - test stage: contribution after CPA</t>
        </is>
      </c>
      <c r="B41" s="39">
        <f>Espresso_UnitEcon!$H$53</f>
        <v>-125.326806</v>
      </c>
      <c r="C41" s="39">
        <f>Espresso_UnitEcon!$N$53</f>
        <v>-45.37626</v>
      </c>
      <c r="D41" s="39">
        <f>Espresso_UnitEcon!$T$53</f>
        <v>19.05398499999999</v>
      </c>
      <c r="E41" s="2" t="inlineStr">
        <is>
          <t>$/order</t>
        </is>
      </c>
    </row>
    <row r="42">
      <c r="A42" s="3" t="inlineStr">
        <is>
          <t>(b) Kit - private label: contribution before ads</t>
        </is>
      </c>
      <c r="B42" s="39">
        <f>Espresso_UnitEcon!$I$50</f>
        <v>-42.01051050000001</v>
      </c>
      <c r="C42" s="39">
        <f>Espresso_UnitEcon!$O$50</f>
        <v>20.431110500000003</v>
      </c>
      <c r="D42" s="39">
        <f>Espresso_UnitEcon!$U$50</f>
        <v>54.63872688055555</v>
      </c>
      <c r="E42" s="2" t="inlineStr">
        <is>
          <t>$/order</t>
        </is>
      </c>
    </row>
    <row r="43">
      <c r="A43" s="3" t="inlineStr">
        <is>
          <t>(b) Kit - private label: contribution after CPA</t>
        </is>
      </c>
      <c r="B43" s="39">
        <f>Espresso_UnitEcon!$I$53</f>
        <v>-106.01051050000001</v>
      </c>
      <c r="C43" s="39">
        <f>Espresso_UnitEcon!$O$53</f>
        <v>-24.568889499999997</v>
      </c>
      <c r="D43" s="39">
        <f>Espresso_UnitEcon!$U$53</f>
        <v>24.638726880555552</v>
      </c>
      <c r="E43" s="2" t="inlineStr">
        <is>
          <t>$/order</t>
        </is>
      </c>
    </row>
    <row r="44">
      <c r="A44" s="3" t="inlineStr">
        <is>
          <t>(c) Kit + first beans - PL: contribution before ads</t>
        </is>
      </c>
      <c r="B44" s="39">
        <f>Espresso_UnitEcon!$J$50</f>
        <v>-41.9731031</v>
      </c>
      <c r="C44" s="39">
        <f>Espresso_UnitEcon!$P$50</f>
        <v>24.944542499999997</v>
      </c>
      <c r="D44" s="39">
        <f>Espresso_UnitEcon!$V$50</f>
        <v>73.72751838055555</v>
      </c>
      <c r="E44" s="2" t="inlineStr">
        <is>
          <t>$/order</t>
        </is>
      </c>
    </row>
    <row r="45">
      <c r="A45" s="3" t="inlineStr">
        <is>
          <t>(c) Kit + first beans - PL: contribution after CPA</t>
        </is>
      </c>
      <c r="B45" s="39">
        <f>Espresso_UnitEcon!$J$53</f>
        <v>-105.9731031</v>
      </c>
      <c r="C45" s="39">
        <f>Espresso_UnitEcon!$P$53</f>
        <v>-20.055457500000003</v>
      </c>
      <c r="D45" s="39">
        <f>Espresso_UnitEcon!$V$53</f>
        <v>43.72751838055555</v>
      </c>
      <c r="E45" s="2" t="inlineStr">
        <is>
          <t>$/order</t>
        </is>
      </c>
    </row>
    <row r="46">
      <c r="A46" s="3" t="inlineStr">
        <is>
          <t>(d) Bean renewal: contribution before ads</t>
        </is>
      </c>
      <c r="B46" s="39">
        <f>Espresso_UnitEcon!$K$50</f>
        <v>-0.22950499999999607</v>
      </c>
      <c r="C46" s="39">
        <f>Espresso_UnitEcon!$Q$50</f>
        <v>4.384378000000002</v>
      </c>
      <c r="D46" s="39">
        <f>Espresso_UnitEcon!$W$50</f>
        <v>19.0830195</v>
      </c>
      <c r="E46" s="2" t="inlineStr">
        <is>
          <t>$/order</t>
        </is>
      </c>
    </row>
    <row r="47">
      <c r="A47" s="3" t="inlineStr">
        <is>
          <t>(e) One-time beans: contribution before ads</t>
        </is>
      </c>
      <c r="B47" s="39">
        <f>Espresso_UnitEcon!$L$50</f>
        <v>3.3605500000000035</v>
      </c>
      <c r="C47" s="39">
        <f>Espresso_UnitEcon!$R$50</f>
        <v>8.215419999999998</v>
      </c>
      <c r="D47" s="39">
        <f>Espresso_UnitEcon!$X$50</f>
        <v>23.325855000000004</v>
      </c>
      <c r="E47" s="2" t="inlineStr">
        <is>
          <t>$/order</t>
        </is>
      </c>
    </row>
    <row r="48">
      <c r="A48" s="3" t="inlineStr">
        <is>
          <t>Landed product cost, private label (per hero unit)</t>
        </is>
      </c>
      <c r="B48" s="39">
        <f>Espresso_UnitEcon!$H$22</f>
        <v>77.19155</v>
      </c>
      <c r="C48" s="39">
        <f>Espresso_UnitEcon!$N$22</f>
        <v>34.657225</v>
      </c>
      <c r="D48" s="39">
        <f>Espresso_UnitEcon!$T$22</f>
        <v>20.9296175</v>
      </c>
      <c r="E48" s="2" t="inlineStr">
        <is>
          <t>$/unit</t>
        </is>
      </c>
    </row>
    <row r="49">
      <c r="A49" s="16" t="inlineStr">
        <is>
          <t>FIRST-ORDER contribution before ads (cohort mix)</t>
        </is>
      </c>
      <c r="B49" s="55">
        <f>Espresso_Cohort!$B$102</f>
        <v>-42.00751790800001</v>
      </c>
      <c r="C49" s="55">
        <f>Espresso_Cohort!$B$160</f>
        <v>21.1081253</v>
      </c>
      <c r="D49" s="55">
        <f>Espresso_Cohort!$B$218</f>
        <v>59.41092475555555</v>
      </c>
      <c r="E49" s="2" t="inlineStr">
        <is>
          <t>$/customer</t>
        </is>
      </c>
    </row>
    <row r="50">
      <c r="A50" s="16" t="inlineStr">
        <is>
          <t>FIRST-ORDER contribution after CAC</t>
        </is>
      </c>
      <c r="B50" s="55">
        <f>Espresso_Cohort!$B$103</f>
        <v>-106.00751790800001</v>
      </c>
      <c r="C50" s="55">
        <f>Espresso_Cohort!$B$161</f>
        <v>-23.8918747</v>
      </c>
      <c r="D50" s="55">
        <f>Espresso_Cohort!$B$219</f>
        <v>29.41092475555555</v>
      </c>
      <c r="E50" s="2" t="inlineStr">
        <is>
          <t>$/customer</t>
        </is>
      </c>
    </row>
    <row r="51">
      <c r="A51" s="3" t="inlineStr">
        <is>
          <t>First-order contribution margin before ads</t>
        </is>
      </c>
      <c r="B51" s="45">
        <f>Espresso_UnitEcon!$H$62</f>
        <v>-0.6117144674799608</v>
      </c>
      <c r="C51" s="45">
        <f>Espresso_UnitEcon!$N$62</f>
        <v>0.2501396501065022</v>
      </c>
      <c r="D51" s="45">
        <f>Espresso_UnitEcon!$T$62</f>
        <v>0.5613348095477309</v>
      </c>
      <c r="E51" s="2" t="inlineStr">
        <is>
          <t>% net rev</t>
        </is>
      </c>
    </row>
    <row r="52">
      <c r="A52" s="16" t="inlineStr">
        <is>
          <t>12-month contribution LTV (before CAC)</t>
        </is>
      </c>
      <c r="B52" s="55">
        <f>Espresso_Cohort!$B$107</f>
        <v>-41.61514105773793</v>
      </c>
      <c r="C52" s="55">
        <f>Espresso_Cohort!$B$165</f>
        <v>27.155183071337706</v>
      </c>
      <c r="D52" s="55">
        <f>Espresso_Cohort!$B$223</f>
        <v>104.88042997886309</v>
      </c>
      <c r="E52" s="2" t="inlineStr">
        <is>
          <t>$/customer</t>
        </is>
      </c>
    </row>
    <row r="53">
      <c r="A53" s="3" t="inlineStr">
        <is>
          <t>24-month contribution LTV (before CAC)</t>
        </is>
      </c>
      <c r="B53" s="39">
        <f>Espresso_Cohort!$B$108</f>
        <v>-41.61061678135206</v>
      </c>
      <c r="C53" s="39">
        <f>Espresso_Cohort!$B$166</f>
        <v>29.07202661116104</v>
      </c>
      <c r="D53" s="39">
        <f>Espresso_Cohort!$B$224</f>
        <v>129.5050405058619</v>
      </c>
      <c r="E53" s="2" t="inlineStr">
        <is>
          <t>$/customer</t>
        </is>
      </c>
    </row>
    <row r="54">
      <c r="A54" s="16" t="inlineStr">
        <is>
          <t>12-month LTV net of CAC</t>
        </is>
      </c>
      <c r="B54" s="55">
        <f>Espresso_Cohort!$B$109</f>
        <v>-105.61514105773793</v>
      </c>
      <c r="C54" s="55">
        <f>Espresso_Cohort!$B$167</f>
        <v>-17.844816928662294</v>
      </c>
      <c r="D54" s="55">
        <f>Espresso_Cohort!$B$225</f>
        <v>74.88042997886309</v>
      </c>
      <c r="E54" s="2" t="inlineStr">
        <is>
          <t>$/customer</t>
        </is>
      </c>
    </row>
    <row r="55">
      <c r="A55" s="3" t="inlineStr">
        <is>
          <t>24-month LTV net of CAC</t>
        </is>
      </c>
      <c r="B55" s="39">
        <f>Espresso_Cohort!$B$110</f>
        <v>-105.61061678135206</v>
      </c>
      <c r="C55" s="39">
        <f>Espresso_Cohort!$B$168</f>
        <v>-15.92797338883896</v>
      </c>
      <c r="D55" s="39">
        <f>Espresso_Cohort!$B$226</f>
        <v>99.5050405058619</v>
      </c>
      <c r="E55" s="2" t="inlineStr">
        <is>
          <t>$/customer</t>
        </is>
      </c>
    </row>
    <row r="56">
      <c r="A56" s="3" t="inlineStr">
        <is>
          <t>12-month LTV:CAC</t>
        </is>
      </c>
      <c r="B56" s="38">
        <f>Espresso_Cohort!$B$111</f>
        <v>-0.6502365790271551</v>
      </c>
      <c r="C56" s="38">
        <f>Espresso_Cohort!$B$169</f>
        <v>0.6034485126963934</v>
      </c>
      <c r="D56" s="38">
        <f>Espresso_Cohort!$B$227</f>
        <v>3.4960143326287696</v>
      </c>
      <c r="E56" s="2" t="inlineStr">
        <is>
          <t>x</t>
        </is>
      </c>
    </row>
    <row r="57">
      <c r="A57" s="3" t="inlineStr">
        <is>
          <t>24-month LTV:CAC</t>
        </is>
      </c>
      <c r="B57" s="38">
        <f>Espresso_Cohort!$B$112</f>
        <v>-0.6501658872086259</v>
      </c>
      <c r="C57" s="38">
        <f>Espresso_Cohort!$B$170</f>
        <v>0.6460450358035786</v>
      </c>
      <c r="D57" s="38">
        <f>Espresso_Cohort!$B$228</f>
        <v>4.31683468352873</v>
      </c>
      <c r="E57" s="2" t="inlineStr">
        <is>
          <t>x</t>
        </is>
      </c>
    </row>
    <row r="58">
      <c r="A58" s="16" t="inlineStr">
        <is>
          <t>Payback</t>
        </is>
      </c>
      <c r="B58" s="56" t="str">
        <f>Espresso_Cohort!$B$106</f>
        <v>No payback within 24 months</v>
      </c>
      <c r="C58" s="56" t="str">
        <f>Espresso_Cohort!$B$164</f>
        <v>No payback within 24 months</v>
      </c>
      <c r="D58" s="56" t="str">
        <f>Espresso_Cohort!$B$222</f>
        <v>Month 1</v>
      </c>
      <c r="E58" s="2" t="inlineStr"/>
    </row>
    <row r="59">
      <c r="A59" s="3" t="inlineStr">
        <is>
          <t>Cumulative cohort contribution after CAC, month 24 (100 customers)</t>
        </is>
      </c>
      <c r="B59" s="57">
        <f>Espresso_Cohort!$Z$97</f>
        <v>-10561.061678135202</v>
      </c>
      <c r="C59" s="57">
        <f>Espresso_Cohort!$Z$155</f>
        <v>-1592.797338883896</v>
      </c>
      <c r="D59" s="57">
        <f>Espresso_Cohort!$Z$213</f>
        <v>9950.504050586193</v>
      </c>
      <c r="E59" s="2" t="inlineStr">
        <is>
          <t>$ per 100</t>
        </is>
      </c>
    </row>
    <row r="61">
      <c r="A61" s="2" t="inlineStr">
        <is>
          <t>Engine references: Cat_UnitEcon / Espresso_UnitEcon groups 2-4 and the matching engine blocks on Cat_Cohort / Espresso_Cohort.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8" customWidth="1" min="12" max="12"/>
    <col width="15" customWidth="1" min="13" max="13"/>
  </cols>
  <sheetData>
    <row r="1">
      <c r="A1" s="15" t="inlineStr">
        <is>
          <t>Sensitivity: BASE case (Inputs column E) - one-at-a-time shocks and a CPA x attach two-way table</t>
        </is>
      </c>
    </row>
    <row r="2">
      <c r="A2" s="2" t="inlineStr">
        <is>
          <t>Shock sizes are inputs (blue). Each shocked case is a full re-computation in its own engine group / cohort block.</t>
        </is>
      </c>
    </row>
    <row r="4">
      <c r="A4" s="4" t="inlineStr">
        <is>
          <t>Shock settings</t>
        </is>
      </c>
      <c r="B4" s="5" t="n"/>
      <c r="C4" s="5" t="n"/>
      <c r="D4" s="5" t="n"/>
      <c r="E4" s="5" t="n"/>
    </row>
    <row r="5">
      <c r="A5" s="3" t="inlineStr">
        <is>
          <t>Paid CPA change</t>
        </is>
      </c>
      <c r="C5" s="24" t="n">
        <v>0.3</v>
      </c>
      <c r="D5" s="16" t="inlineStr">
        <is>
          <t>ASSUMPTION</t>
        </is>
      </c>
      <c r="E5" s="2" t="inlineStr">
        <is>
          <t>Checkpoint 4 spec shock size</t>
        </is>
      </c>
    </row>
    <row r="6">
      <c r="A6" s="3" t="inlineStr">
        <is>
          <t>Supplier unit cost (COGS) change</t>
        </is>
      </c>
      <c r="C6" s="24" t="n">
        <v>0.15</v>
      </c>
      <c r="D6" s="16" t="inlineStr">
        <is>
          <t>ASSUMPTION</t>
        </is>
      </c>
      <c r="E6" s="2" t="inlineStr">
        <is>
          <t>Checkpoint 4 spec shock size</t>
        </is>
      </c>
    </row>
    <row r="7">
      <c r="A7" s="3" t="inlineStr">
        <is>
          <t>Postage change</t>
        </is>
      </c>
      <c r="C7" s="24" t="n">
        <v>0.2</v>
      </c>
      <c r="D7" s="16" t="inlineStr">
        <is>
          <t>ASSUMPTION</t>
        </is>
      </c>
      <c r="E7" s="2" t="inlineStr">
        <is>
          <t>Checkpoint 4 spec shock size</t>
        </is>
      </c>
    </row>
    <row r="8">
      <c r="A8" s="3" t="inlineStr">
        <is>
          <t>Subscription attach change</t>
        </is>
      </c>
      <c r="C8" s="24" t="n">
        <v>-0.5</v>
      </c>
      <c r="D8" s="16" t="inlineStr">
        <is>
          <t>ASSUMPTION</t>
        </is>
      </c>
      <c r="E8" s="2" t="inlineStr">
        <is>
          <t>Checkpoint 4 spec shock size</t>
        </is>
      </c>
    </row>
    <row r="9">
      <c r="A9" s="3" t="inlineStr">
        <is>
          <t>Churn change (all churn rates)</t>
        </is>
      </c>
      <c r="C9" s="24" t="n">
        <v>0.5</v>
      </c>
      <c r="D9" s="16" t="inlineStr">
        <is>
          <t>ASSUMPTION</t>
        </is>
      </c>
      <c r="E9" s="2" t="inlineStr">
        <is>
          <t>Checkpoint 4 spec shock size</t>
        </is>
      </c>
    </row>
    <row r="10">
      <c r="A10" s="3" t="inlineStr">
        <is>
          <t>Refund / replacement / returns multiplier</t>
        </is>
      </c>
      <c r="C10" s="35" t="n">
        <v>2</v>
      </c>
      <c r="D10" s="16" t="inlineStr">
        <is>
          <t>ASSUMPTION</t>
        </is>
      </c>
      <c r="E10" s="2" t="inlineStr">
        <is>
          <t>Checkpoint 4 spec shock size</t>
        </is>
      </c>
    </row>
    <row r="13" ht="45" customHeight="1">
      <c r="A13" s="58" t="inlineStr">
        <is>
          <t>Case</t>
        </is>
      </c>
      <c r="B13" s="58" t="inlineStr">
        <is>
          <t>First-order contribution before ads</t>
        </is>
      </c>
      <c r="C13" s="58" t="inlineStr">
        <is>
          <t>Change vs base</t>
        </is>
      </c>
      <c r="D13" s="58" t="inlineStr">
        <is>
          <t>First-order contribution after CAC</t>
        </is>
      </c>
      <c r="E13" s="58" t="inlineStr">
        <is>
          <t>Change vs base</t>
        </is>
      </c>
      <c r="F13" s="58" t="inlineStr">
        <is>
          <t>12-mo contribution LTV (before CAC)</t>
        </is>
      </c>
      <c r="G13" s="58" t="inlineStr">
        <is>
          <t>Change vs base</t>
        </is>
      </c>
      <c r="H13" s="58" t="inlineStr">
        <is>
          <t>12-mo LTV net of CAC</t>
        </is>
      </c>
      <c r="I13" s="58" t="inlineStr">
        <is>
          <t>Change vs base</t>
        </is>
      </c>
      <c r="J13" s="58" t="inlineStr">
        <is>
          <t>24-mo LTV net of CAC</t>
        </is>
      </c>
      <c r="K13" s="58" t="inlineStr">
        <is>
          <t>Payback month (99 = none)</t>
        </is>
      </c>
      <c r="L13" s="58" t="inlineStr">
        <is>
          <t>Payback (display)</t>
        </is>
      </c>
    </row>
    <row r="14">
      <c r="A14" s="16" t="inlineStr">
        <is>
          <t>Base</t>
        </is>
      </c>
      <c r="B14" s="39">
        <f>Cat_Cohort!$B$160</f>
        <v>4.999196325000007</v>
      </c>
      <c r="C14" s="26">
        <f>B14-$B$14</f>
        <v>0.0</v>
      </c>
      <c r="D14" s="39">
        <f>Cat_Cohort!$B$161</f>
        <v>-40.00080367499999</v>
      </c>
      <c r="E14" s="26">
        <f>D14-$D$14</f>
        <v>0.0</v>
      </c>
      <c r="F14" s="39">
        <f>Cat_Cohort!$B$165</f>
        <v>3.1692859856986404</v>
      </c>
      <c r="G14" s="26">
        <f>F14-$F$14</f>
        <v>0.0</v>
      </c>
      <c r="H14" s="39">
        <f>Cat_Cohort!$B$167</f>
        <v>-41.83071401430136</v>
      </c>
      <c r="I14" s="26">
        <f>H14-$H$14</f>
        <v>0.0</v>
      </c>
      <c r="J14" s="39">
        <f>Cat_Cohort!$B$168</f>
        <v>-42.850012787978955</v>
      </c>
      <c r="K14" s="12">
        <f>Cat_Cohort!$B$163</f>
        <v>99.0</v>
      </c>
      <c r="L14" s="59" t="str">
        <f>Cat_Cohort!$B$164</f>
        <v>No payback within 24 months</v>
      </c>
    </row>
    <row r="15">
      <c r="A15" s="3" t="inlineStr">
        <is>
          <t>CPA +30%</t>
        </is>
      </c>
      <c r="B15" s="39">
        <f>Cat_Cohort!$B$276</f>
        <v>4.999196325000007</v>
      </c>
      <c r="C15" s="26">
        <f>B15-$B$14</f>
        <v>0.0</v>
      </c>
      <c r="D15" s="39">
        <f>Cat_Cohort!$B$277</f>
        <v>-53.50080367499999</v>
      </c>
      <c r="E15" s="26">
        <f>D15-$D$14</f>
        <v>-13.5</v>
      </c>
      <c r="F15" s="39">
        <f>Cat_Cohort!$B$281</f>
        <v>3.1692859856986404</v>
      </c>
      <c r="G15" s="26">
        <f>F15-$F$14</f>
        <v>0.0</v>
      </c>
      <c r="H15" s="39">
        <f>Cat_Cohort!$B$283</f>
        <v>-55.33071401430136</v>
      </c>
      <c r="I15" s="26">
        <f>H15-$H$14</f>
        <v>-13.5</v>
      </c>
      <c r="J15" s="39">
        <f>Cat_Cohort!$B$284</f>
        <v>-56.350012787978955</v>
      </c>
      <c r="K15" s="12">
        <f>Cat_Cohort!$B$279</f>
        <v>99.0</v>
      </c>
      <c r="L15" s="59" t="str">
        <f>Cat_Cohort!$B$280</f>
        <v>No payback within 24 months</v>
      </c>
    </row>
    <row r="16">
      <c r="A16" s="3" t="inlineStr">
        <is>
          <t>Supplier / COGS +15%</t>
        </is>
      </c>
      <c r="B16" s="39">
        <f>Cat_Cohort!$B$334</f>
        <v>2.3362213687500066</v>
      </c>
      <c r="C16" s="26">
        <f>B16-$B$14</f>
        <v>-2.6629749562500002</v>
      </c>
      <c r="D16" s="39">
        <f>Cat_Cohort!$B$335</f>
        <v>-42.66377863125</v>
      </c>
      <c r="E16" s="26">
        <f>D16-$D$14</f>
        <v>-2.662974956250004</v>
      </c>
      <c r="F16" s="39">
        <f>Cat_Cohort!$B$339</f>
        <v>0.09128051094226217</v>
      </c>
      <c r="G16" s="26">
        <f>F16-$F$14</f>
        <v>-3.0780054747563783</v>
      </c>
      <c r="H16" s="39">
        <f>Cat_Cohort!$B$341</f>
        <v>-44.90871948905774</v>
      </c>
      <c r="I16" s="26">
        <f>H16-$H$14</f>
        <v>-3.078005474756381</v>
      </c>
      <c r="J16" s="39">
        <f>Cat_Cohort!$B$342</f>
        <v>-46.12833039818784</v>
      </c>
      <c r="K16" s="12">
        <f>Cat_Cohort!$B$337</f>
        <v>99.0</v>
      </c>
      <c r="L16" s="59" t="str">
        <f>Cat_Cohort!$B$338</f>
        <v>No payback within 24 months</v>
      </c>
    </row>
    <row r="17">
      <c r="A17" s="3" t="inlineStr">
        <is>
          <t>Shipping +20%</t>
        </is>
      </c>
      <c r="B17" s="39">
        <f>Cat_Cohort!$B$392</f>
        <v>2.755196325000009</v>
      </c>
      <c r="C17" s="26">
        <f>B17-$B$14</f>
        <v>-2.243999999999998</v>
      </c>
      <c r="D17" s="39">
        <f>Cat_Cohort!$B$393</f>
        <v>-42.24480367499999</v>
      </c>
      <c r="E17" s="26">
        <f>D17-$D$14</f>
        <v>-2.2439999999999998</v>
      </c>
      <c r="F17" s="39">
        <f>Cat_Cohort!$B$397</f>
        <v>-0.2026798679373268</v>
      </c>
      <c r="G17" s="26">
        <f>F17-$F$14</f>
        <v>-3.371965853635967</v>
      </c>
      <c r="H17" s="39">
        <f>Cat_Cohort!$B$399</f>
        <v>-45.20267986793733</v>
      </c>
      <c r="I17" s="26">
        <f>H17-$H$14</f>
        <v>-3.3719658536359702</v>
      </c>
      <c r="J17" s="39">
        <f>Cat_Cohort!$B$400</f>
        <v>-46.766384989544385</v>
      </c>
      <c r="K17" s="12">
        <f>Cat_Cohort!$B$395</f>
        <v>99.0</v>
      </c>
      <c r="L17" s="59" t="str">
        <f>Cat_Cohort!$B$396</f>
        <v>No payback within 24 months</v>
      </c>
    </row>
    <row r="18">
      <c r="A18" s="3" t="inlineStr">
        <is>
          <t>Subscription attach -50%</t>
        </is>
      </c>
      <c r="B18" s="39">
        <f>Cat_Cohort!$B$450</f>
        <v>4.999196325000007</v>
      </c>
      <c r="C18" s="26">
        <f>B18-$B$14</f>
        <v>0.0</v>
      </c>
      <c r="D18" s="39">
        <f>Cat_Cohort!$B$451</f>
        <v>-40.00080367499999</v>
      </c>
      <c r="E18" s="26">
        <f>D18-$D$14</f>
        <v>0.0</v>
      </c>
      <c r="F18" s="39">
        <f>Cat_Cohort!$B$455</f>
        <v>3.733071875349324</v>
      </c>
      <c r="G18" s="26">
        <f>F18-$F$14</f>
        <v>0.5637858896506835</v>
      </c>
      <c r="H18" s="39">
        <f>Cat_Cohort!$B$457</f>
        <v>-41.266928124650676</v>
      </c>
      <c r="I18" s="26">
        <f>H18-$H$14</f>
        <v>0.5637858896506813</v>
      </c>
      <c r="J18" s="39">
        <f>Cat_Cohort!$B$458</f>
        <v>-41.85243007596947</v>
      </c>
      <c r="K18" s="12">
        <f>Cat_Cohort!$B$453</f>
        <v>99.0</v>
      </c>
      <c r="L18" s="59" t="str">
        <f>Cat_Cohort!$B$454</f>
        <v>No payback within 24 months</v>
      </c>
    </row>
    <row r="19">
      <c r="A19" s="3" t="inlineStr">
        <is>
          <t>Churn +50%</t>
        </is>
      </c>
      <c r="B19" s="39">
        <f>Cat_Cohort!$B$508</f>
        <v>4.999196325000007</v>
      </c>
      <c r="C19" s="26">
        <f>B19-$B$14</f>
        <v>0.0</v>
      </c>
      <c r="D19" s="39">
        <f>Cat_Cohort!$B$509</f>
        <v>-40.00080367499999</v>
      </c>
      <c r="E19" s="26">
        <f>D19-$D$14</f>
        <v>0.0</v>
      </c>
      <c r="F19" s="39">
        <f>Cat_Cohort!$B$513</f>
        <v>3.4788635465950146</v>
      </c>
      <c r="G19" s="26">
        <f>F19-$F$14</f>
        <v>0.3095775608963742</v>
      </c>
      <c r="H19" s="39">
        <f>Cat_Cohort!$B$515</f>
        <v>-41.521136453404985</v>
      </c>
      <c r="I19" s="26">
        <f>H19-$H$14</f>
        <v>0.309577560896372</v>
      </c>
      <c r="J19" s="39">
        <f>Cat_Cohort!$B$516</f>
        <v>-42.12241454738176</v>
      </c>
      <c r="K19" s="12">
        <f>Cat_Cohort!$B$511</f>
        <v>99.0</v>
      </c>
      <c r="L19" s="59" t="str">
        <f>Cat_Cohort!$B$512</f>
        <v>No payback within 24 months</v>
      </c>
    </row>
    <row r="20">
      <c r="A20" s="3" t="inlineStr">
        <is>
          <t>Returns 2x</t>
        </is>
      </c>
      <c r="B20" s="39">
        <f>Cat_Cohort!$B$566</f>
        <v>0.9997526500000031</v>
      </c>
      <c r="C20" s="26">
        <f>B20-$B$14</f>
        <v>-3.9994436750000038</v>
      </c>
      <c r="D20" s="39">
        <f>Cat_Cohort!$B$567</f>
        <v>-44.000247349999995</v>
      </c>
      <c r="E20" s="26">
        <f>D20-$D$14</f>
        <v>-3.999443675000002</v>
      </c>
      <c r="F20" s="39">
        <f>Cat_Cohort!$B$571</f>
        <v>-0.9679327632146514</v>
      </c>
      <c r="G20" s="26">
        <f>F20-$F$14</f>
        <v>-4.137218748913292</v>
      </c>
      <c r="H20" s="39">
        <f>Cat_Cohort!$B$573</f>
        <v>-45.96793276321465</v>
      </c>
      <c r="I20" s="26">
        <f>H20-$H$14</f>
        <v>-4.137218748913291</v>
      </c>
      <c r="J20" s="39">
        <f>Cat_Cohort!$B$574</f>
        <v>-47.05230719992245</v>
      </c>
      <c r="K20" s="12">
        <f>Cat_Cohort!$B$569</f>
        <v>99.0</v>
      </c>
      <c r="L20" s="59" t="str">
        <f>Cat_Cohort!$B$570</f>
        <v>No payback within 24 months</v>
      </c>
    </row>
    <row r="23">
      <c r="A23" s="2" t="inlineStr">
        <is>
          <t>Two-way tables (BASE case, cat). LTV(attach) = first-order contribution + attach x renewal contribution per subscriber + (1 - attach) x repeat rate x repeat contribution per occasional buyer; minus CPA. Closed form from the Base cohort block.</t>
        </is>
      </c>
    </row>
    <row r="24">
      <c r="A24" s="3" t="inlineStr">
        <is>
          <t>Base first-order contribution before ads / customer</t>
        </is>
      </c>
      <c r="C24" s="39">
        <f>Cat_Cohort!$B$130</f>
        <v>4.999196325000007</v>
      </c>
    </row>
    <row r="25">
      <c r="A25" s="3" t="inlineStr">
        <is>
          <t>Renewal contribution per subscriber - 12 months / 24 months</t>
        </is>
      </c>
      <c r="C25" s="39">
        <f>Cat_Cohort!$B$173</f>
        <v>-6.340197456506833</v>
      </c>
      <c r="D25" s="39">
        <f>Cat_Cohort!$B$176</f>
        <v>-10.829870809054807</v>
      </c>
    </row>
    <row r="26">
      <c r="A26" s="3" t="inlineStr">
        <is>
          <t>Repeat contribution per occasional buyer - 12 months / 24 months</t>
        </is>
      </c>
      <c r="C26" s="39">
        <f>Cat_Cohort!$B$174</f>
        <v>-3.5116927999999987</v>
      </c>
      <c r="D26" s="39">
        <f>Cat_Cohort!$B$177</f>
        <v>-4.2702184447999985</v>
      </c>
    </row>
    <row r="27">
      <c r="A27" s="3" t="inlineStr">
        <is>
          <t>Non-subscriber repeat rate / Base paid CAC</t>
        </is>
      </c>
      <c r="C27" s="45">
        <f>Cat_Cohort!$B$126</f>
        <v>0.2</v>
      </c>
      <c r="D27" s="39">
        <f>Cat_Cohort!$B$131</f>
        <v>45.0</v>
      </c>
    </row>
    <row r="29">
      <c r="A29" s="2" t="inlineStr">
        <is>
          <t>CPA factor (x base CAC) - inputs</t>
        </is>
      </c>
      <c r="C29" s="35" t="n">
        <v>0.6</v>
      </c>
      <c r="D29" s="35" t="n">
        <v>0.8</v>
      </c>
      <c r="E29" s="35" t="n">
        <v>1</v>
      </c>
      <c r="F29" s="35" t="n">
        <v>1.15</v>
      </c>
      <c r="G29" s="35" t="n">
        <v>1.3</v>
      </c>
      <c r="H29" s="35" t="n">
        <v>1.5</v>
      </c>
      <c r="I29" s="35" t="n">
        <v>2</v>
      </c>
    </row>
    <row r="30">
      <c r="A30" s="2" t="inlineStr">
        <is>
          <t>Attach rate axis - inputs</t>
        </is>
      </c>
      <c r="C30" s="24" t="n">
        <v>0</v>
      </c>
      <c r="D30" s="24" t="n">
        <v>0.05</v>
      </c>
      <c r="E30" s="24" t="n">
        <v>0.1</v>
      </c>
      <c r="F30" s="24" t="n">
        <v>0.2</v>
      </c>
      <c r="G30" s="24" t="n">
        <v>0.3</v>
      </c>
      <c r="H30" s="24" t="n">
        <v>0.4</v>
      </c>
      <c r="I30" s="24" t="n">
        <v>0.5</v>
      </c>
    </row>
    <row r="32">
      <c r="A32" s="4" t="inlineStr">
        <is>
          <t>Table 1: 12-month contribution LTV NET of CAC per customer ($): paid CPA (rows) x subscription attach (columns)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B33" s="16" t="inlineStr">
        <is>
          <t>CPA \ attach</t>
        </is>
      </c>
      <c r="C33" s="25">
        <f>C$30</f>
        <v>0.0</v>
      </c>
      <c r="D33" s="25">
        <f>D$30</f>
        <v>0.05</v>
      </c>
      <c r="E33" s="25">
        <f>E$30</f>
        <v>0.1</v>
      </c>
      <c r="F33" s="25">
        <f>F$30</f>
        <v>0.2</v>
      </c>
      <c r="G33" s="25">
        <f>G$30</f>
        <v>0.3</v>
      </c>
      <c r="H33" s="25">
        <f>H$30</f>
        <v>0.4</v>
      </c>
      <c r="I33" s="25">
        <f>I$30</f>
        <v>0.5</v>
      </c>
    </row>
    <row r="34">
      <c r="B34" s="23">
        <f>INDEX($C$29:$I$29,1,1)*$D$27</f>
        <v>27.0</v>
      </c>
      <c r="C34" s="26">
        <f>($C$24+C$33*$C$25+(1-C$33)*$C$27*$C$26)-$B34</f>
        <v>-22.703142234999994</v>
      </c>
      <c r="D34" s="26">
        <f>($C$24+D$33*$C$25+(1-D$33)*$C$27*$C$26)-$B34</f>
        <v>-22.985035179825335</v>
      </c>
      <c r="E34" s="26">
        <f>($C$24+E$33*$C$25+(1-E$33)*$C$27*$C$26)-$B34</f>
        <v>-23.266928124650676</v>
      </c>
      <c r="F34" s="26">
        <f>($C$24+F$33*$C$25+(1-F$33)*$C$27*$C$26)-$B34</f>
        <v>-23.83071401430136</v>
      </c>
      <c r="G34" s="26">
        <f>($C$24+G$33*$C$25+(1-G$33)*$C$27*$C$26)-$B34</f>
        <v>-24.394499903952042</v>
      </c>
      <c r="H34" s="26">
        <f>($C$24+H$33*$C$25+(1-H$33)*$C$27*$C$26)-$B34</f>
        <v>-24.958285793602727</v>
      </c>
      <c r="I34" s="26">
        <f>($C$24+I$33*$C$25+(1-I$33)*$C$27*$C$26)-$B34</f>
        <v>-25.522071683253408</v>
      </c>
    </row>
    <row r="35">
      <c r="B35" s="23">
        <f>INDEX($C$29:$I$29,1,2)*$D$27</f>
        <v>36.0</v>
      </c>
      <c r="C35" s="26">
        <f>($C$24+C$33*$C$25+(1-C$33)*$C$27*$C$26)-$B35</f>
        <v>-31.703142234999994</v>
      </c>
      <c r="D35" s="26">
        <f>($C$24+D$33*$C$25+(1-D$33)*$C$27*$C$26)-$B35</f>
        <v>-31.985035179825335</v>
      </c>
      <c r="E35" s="26">
        <f>($C$24+E$33*$C$25+(1-E$33)*$C$27*$C$26)-$B35</f>
        <v>-32.266928124650676</v>
      </c>
      <c r="F35" s="26">
        <f>($C$24+F$33*$C$25+(1-F$33)*$C$27*$C$26)-$B35</f>
        <v>-32.83071401430136</v>
      </c>
      <c r="G35" s="26">
        <f>($C$24+G$33*$C$25+(1-G$33)*$C$27*$C$26)-$B35</f>
        <v>-33.394499903952045</v>
      </c>
      <c r="H35" s="26">
        <f>($C$24+H$33*$C$25+(1-H$33)*$C$27*$C$26)-$B35</f>
        <v>-33.95828579360273</v>
      </c>
      <c r="I35" s="26">
        <f>($C$24+I$33*$C$25+(1-I$33)*$C$27*$C$26)-$B35</f>
        <v>-34.52207168325341</v>
      </c>
    </row>
    <row r="36">
      <c r="B36" s="23">
        <f>INDEX($C$29:$I$29,1,3)*$D$27</f>
        <v>45.0</v>
      </c>
      <c r="C36" s="26">
        <f>($C$24+C$33*$C$25+(1-C$33)*$C$27*$C$26)-$B36</f>
        <v>-40.703142234999994</v>
      </c>
      <c r="D36" s="26">
        <f>($C$24+D$33*$C$25+(1-D$33)*$C$27*$C$26)-$B36</f>
        <v>-40.98503517982533</v>
      </c>
      <c r="E36" s="26">
        <f>($C$24+E$33*$C$25+(1-E$33)*$C$27*$C$26)-$B36</f>
        <v>-41.266928124650676</v>
      </c>
      <c r="F36" s="26">
        <f>($C$24+F$33*$C$25+(1-F$33)*$C$27*$C$26)-$B36</f>
        <v>-41.83071401430136</v>
      </c>
      <c r="G36" s="26">
        <f>($C$24+G$33*$C$25+(1-G$33)*$C$27*$C$26)-$B36</f>
        <v>-42.394499903952045</v>
      </c>
      <c r="H36" s="26">
        <f>($C$24+H$33*$C$25+(1-H$33)*$C$27*$C$26)-$B36</f>
        <v>-42.95828579360273</v>
      </c>
      <c r="I36" s="26">
        <f>($C$24+I$33*$C$25+(1-I$33)*$C$27*$C$26)-$B36</f>
        <v>-43.52207168325341</v>
      </c>
    </row>
    <row r="37">
      <c r="B37" s="23">
        <f>INDEX($C$29:$I$29,1,4)*$D$27</f>
        <v>51.74999999999999</v>
      </c>
      <c r="C37" s="26">
        <f>($C$24+C$33*$C$25+(1-C$33)*$C$27*$C$26)-$B37</f>
        <v>-47.45314223499999</v>
      </c>
      <c r="D37" s="26">
        <f>($C$24+D$33*$C$25+(1-D$33)*$C$27*$C$26)-$B37</f>
        <v>-47.735035179825324</v>
      </c>
      <c r="E37" s="26">
        <f>($C$24+E$33*$C$25+(1-E$33)*$C$27*$C$26)-$B37</f>
        <v>-48.01692812465067</v>
      </c>
      <c r="F37" s="26">
        <f>($C$24+F$33*$C$25+(1-F$33)*$C$27*$C$26)-$B37</f>
        <v>-48.58071401430135</v>
      </c>
      <c r="G37" s="26">
        <f>($C$24+G$33*$C$25+(1-G$33)*$C$27*$C$26)-$B37</f>
        <v>-49.14449990395204</v>
      </c>
      <c r="H37" s="26">
        <f>($C$24+H$33*$C$25+(1-H$33)*$C$27*$C$26)-$B37</f>
        <v>-49.70828579360272</v>
      </c>
      <c r="I37" s="26">
        <f>($C$24+I$33*$C$25+(1-I$33)*$C$27*$C$26)-$B37</f>
        <v>-50.2720716832534</v>
      </c>
    </row>
    <row r="38">
      <c r="B38" s="23">
        <f>INDEX($C$29:$I$29,1,5)*$D$27</f>
        <v>58.5</v>
      </c>
      <c r="C38" s="26">
        <f>($C$24+C$33*$C$25+(1-C$33)*$C$27*$C$26)-$B38</f>
        <v>-54.203142234999994</v>
      </c>
      <c r="D38" s="26">
        <f>($C$24+D$33*$C$25+(1-D$33)*$C$27*$C$26)-$B38</f>
        <v>-54.48503517982533</v>
      </c>
      <c r="E38" s="26">
        <f>($C$24+E$33*$C$25+(1-E$33)*$C$27*$C$26)-$B38</f>
        <v>-54.766928124650676</v>
      </c>
      <c r="F38" s="26">
        <f>($C$24+F$33*$C$25+(1-F$33)*$C$27*$C$26)-$B38</f>
        <v>-55.33071401430136</v>
      </c>
      <c r="G38" s="26">
        <f>($C$24+G$33*$C$25+(1-G$33)*$C$27*$C$26)-$B38</f>
        <v>-55.894499903952045</v>
      </c>
      <c r="H38" s="26">
        <f>($C$24+H$33*$C$25+(1-H$33)*$C$27*$C$26)-$B38</f>
        <v>-56.45828579360273</v>
      </c>
      <c r="I38" s="26">
        <f>($C$24+I$33*$C$25+(1-I$33)*$C$27*$C$26)-$B38</f>
        <v>-57.02207168325341</v>
      </c>
    </row>
    <row r="39">
      <c r="B39" s="23">
        <f>INDEX($C$29:$I$29,1,6)*$D$27</f>
        <v>67.5</v>
      </c>
      <c r="C39" s="26">
        <f>($C$24+C$33*$C$25+(1-C$33)*$C$27*$C$26)-$B39</f>
        <v>-63.203142234999994</v>
      </c>
      <c r="D39" s="26">
        <f>($C$24+D$33*$C$25+(1-D$33)*$C$27*$C$26)-$B39</f>
        <v>-63.48503517982533</v>
      </c>
      <c r="E39" s="26">
        <f>($C$24+E$33*$C$25+(1-E$33)*$C$27*$C$26)-$B39</f>
        <v>-63.766928124650676</v>
      </c>
      <c r="F39" s="26">
        <f>($C$24+F$33*$C$25+(1-F$33)*$C$27*$C$26)-$B39</f>
        <v>-64.33071401430136</v>
      </c>
      <c r="G39" s="26">
        <f>($C$24+G$33*$C$25+(1-G$33)*$C$27*$C$26)-$B39</f>
        <v>-64.89449990395204</v>
      </c>
      <c r="H39" s="26">
        <f>($C$24+H$33*$C$25+(1-H$33)*$C$27*$C$26)-$B39</f>
        <v>-65.45828579360273</v>
      </c>
      <c r="I39" s="26">
        <f>($C$24+I$33*$C$25+(1-I$33)*$C$27*$C$26)-$B39</f>
        <v>-66.02207168325342</v>
      </c>
    </row>
    <row r="40">
      <c r="B40" s="23">
        <f>INDEX($C$29:$I$29,1,7)*$D$27</f>
        <v>90.0</v>
      </c>
      <c r="C40" s="26">
        <f>($C$24+C$33*$C$25+(1-C$33)*$C$27*$C$26)-$B40</f>
        <v>-85.70314223499999</v>
      </c>
      <c r="D40" s="26">
        <f>($C$24+D$33*$C$25+(1-D$33)*$C$27*$C$26)-$B40</f>
        <v>-85.98503517982533</v>
      </c>
      <c r="E40" s="26">
        <f>($C$24+E$33*$C$25+(1-E$33)*$C$27*$C$26)-$B40</f>
        <v>-86.26692812465068</v>
      </c>
      <c r="F40" s="26">
        <f>($C$24+F$33*$C$25+(1-F$33)*$C$27*$C$26)-$B40</f>
        <v>-86.83071401430136</v>
      </c>
      <c r="G40" s="26">
        <f>($C$24+G$33*$C$25+(1-G$33)*$C$27*$C$26)-$B40</f>
        <v>-87.39449990395204</v>
      </c>
      <c r="H40" s="26">
        <f>($C$24+H$33*$C$25+(1-H$33)*$C$27*$C$26)-$B40</f>
        <v>-87.95828579360273</v>
      </c>
      <c r="I40" s="26">
        <f>($C$24+I$33*$C$25+(1-I$33)*$C$27*$C$26)-$B40</f>
        <v>-88.52207168325342</v>
      </c>
    </row>
    <row r="42">
      <c r="A42" s="4" t="inlineStr">
        <is>
          <t>Table 2: 12-month contribution LTV : CAC (x)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B43" s="16" t="inlineStr">
        <is>
          <t>CPA \ attach</t>
        </is>
      </c>
      <c r="C43" s="25">
        <f>C$30</f>
        <v>0.0</v>
      </c>
      <c r="D43" s="25">
        <f>D$30</f>
        <v>0.05</v>
      </c>
      <c r="E43" s="25">
        <f>E$30</f>
        <v>0.1</v>
      </c>
      <c r="F43" s="25">
        <f>F$30</f>
        <v>0.2</v>
      </c>
      <c r="G43" s="25">
        <f>G$30</f>
        <v>0.3</v>
      </c>
      <c r="H43" s="25">
        <f>H$30</f>
        <v>0.4</v>
      </c>
      <c r="I43" s="25">
        <f>I$30</f>
        <v>0.5</v>
      </c>
    </row>
    <row r="44">
      <c r="B44" s="23">
        <f>INDEX($C$29:$I$29,1,1)*$D$27</f>
        <v>27.0</v>
      </c>
      <c r="C44" s="37">
        <f>IFERROR(($C$24+C$43*$C$25+(1-C$43)*$C$27*$C$26)/$B44,0)</f>
        <v>0.15914288018518546</v>
      </c>
      <c r="D44" s="37">
        <f>IFERROR(($C$24+D$43*$C$25+(1-D$43)*$C$27*$C$26)/$B44,0)</f>
        <v>0.14870240074720986</v>
      </c>
      <c r="E44" s="37">
        <f>IFERROR(($C$24+E$43*$C$25+(1-E$43)*$C$27*$C$26)/$B44,0)</f>
        <v>0.13826192130923423</v>
      </c>
      <c r="F44" s="37">
        <f>IFERROR(($C$24+F$43*$C$25+(1-F$43)*$C$27*$C$26)/$B44,0)</f>
        <v>0.11738096243328298</v>
      </c>
      <c r="G44" s="37">
        <f>IFERROR(($C$24+G$43*$C$25+(1-G$43)*$C$27*$C$26)/$B44,0)</f>
        <v>0.09650000355733175</v>
      </c>
      <c r="H44" s="37">
        <f>IFERROR(($C$24+H$43*$C$25+(1-H$43)*$C$27*$C$26)/$B44,0)</f>
        <v>0.0756190446813805</v>
      </c>
      <c r="I44" s="37">
        <f>IFERROR(($C$24+I$43*$C$25+(1-I$43)*$C$27*$C$26)/$B44,0)</f>
        <v>0.05473808580542928</v>
      </c>
    </row>
    <row r="45">
      <c r="B45" s="23">
        <f>INDEX($C$29:$I$29,1,2)*$D$27</f>
        <v>36.0</v>
      </c>
      <c r="C45" s="37">
        <f>IFERROR(($C$24+C$43*$C$25+(1-C$43)*$C$27*$C$26)/$B45,0)</f>
        <v>0.1193571601388891</v>
      </c>
      <c r="D45" s="37">
        <f>IFERROR(($C$24+D$43*$C$25+(1-D$43)*$C$27*$C$26)/$B45,0)</f>
        <v>0.11152680056040738</v>
      </c>
      <c r="E45" s="37">
        <f>IFERROR(($C$24+E$43*$C$25+(1-E$43)*$C$27*$C$26)/$B45,0)</f>
        <v>0.10369644098192568</v>
      </c>
      <c r="F45" s="37">
        <f>IFERROR(($C$24+F$43*$C$25+(1-F$43)*$C$27*$C$26)/$B45,0)</f>
        <v>0.08803572182496223</v>
      </c>
      <c r="G45" s="37">
        <f>IFERROR(($C$24+G$43*$C$25+(1-G$43)*$C$27*$C$26)/$B45,0)</f>
        <v>0.07237500266799882</v>
      </c>
      <c r="H45" s="37">
        <f>IFERROR(($C$24+H$43*$C$25+(1-H$43)*$C$27*$C$26)/$B45,0)</f>
        <v>0.056714283511035385</v>
      </c>
      <c r="I45" s="37">
        <f>IFERROR(($C$24+I$43*$C$25+(1-I$43)*$C$27*$C$26)/$B45,0)</f>
        <v>0.04105356435407195</v>
      </c>
    </row>
    <row r="46">
      <c r="B46" s="23">
        <f>INDEX($C$29:$I$29,1,3)*$D$27</f>
        <v>45.0</v>
      </c>
      <c r="C46" s="37">
        <f>IFERROR(($C$24+C$43*$C$25+(1-C$43)*$C$27*$C$26)/$B46,0)</f>
        <v>0.09548572811111128</v>
      </c>
      <c r="D46" s="37">
        <f>IFERROR(($C$24+D$43*$C$25+(1-D$43)*$C$27*$C$26)/$B46,0)</f>
        <v>0.0892214404483259</v>
      </c>
      <c r="E46" s="37">
        <f>IFERROR(($C$24+E$43*$C$25+(1-E$43)*$C$27*$C$26)/$B46,0)</f>
        <v>0.08295715278554054</v>
      </c>
      <c r="F46" s="37">
        <f>IFERROR(($C$24+F$43*$C$25+(1-F$43)*$C$27*$C$26)/$B46,0)</f>
        <v>0.07042857745996979</v>
      </c>
      <c r="G46" s="37">
        <f>IFERROR(($C$24+G$43*$C$25+(1-G$43)*$C$27*$C$26)/$B46,0)</f>
        <v>0.05790000213439905</v>
      </c>
      <c r="H46" s="37">
        <f>IFERROR(($C$24+H$43*$C$25+(1-H$43)*$C$27*$C$26)/$B46,0)</f>
        <v>0.0453714268088283</v>
      </c>
      <c r="I46" s="37">
        <f>IFERROR(($C$24+I$43*$C$25+(1-I$43)*$C$27*$C$26)/$B46,0)</f>
        <v>0.032842851483257565</v>
      </c>
    </row>
    <row r="47">
      <c r="B47" s="23">
        <f>INDEX($C$29:$I$29,1,4)*$D$27</f>
        <v>51.74999999999999</v>
      </c>
      <c r="C47" s="37">
        <f>IFERROR(($C$24+C$43*$C$25+(1-C$43)*$C$27*$C$26)/$B47,0)</f>
        <v>0.08303106792270547</v>
      </c>
      <c r="D47" s="37">
        <f>IFERROR(($C$24+D$43*$C$25+(1-D$43)*$C$27*$C$26)/$B47,0)</f>
        <v>0.07758386125941384</v>
      </c>
      <c r="E47" s="37">
        <f>IFERROR(($C$24+E$43*$C$25+(1-E$43)*$C$27*$C$26)/$B47,0)</f>
        <v>0.07213665459612222</v>
      </c>
      <c r="F47" s="37">
        <f>IFERROR(($C$24+F$43*$C$25+(1-F$43)*$C$27*$C$26)/$B47,0)</f>
        <v>0.061242241269538956</v>
      </c>
      <c r="G47" s="37">
        <f>IFERROR(($C$24+G$43*$C$25+(1-G$43)*$C$27*$C$26)/$B47,0)</f>
        <v>0.050347827942955704</v>
      </c>
      <c r="H47" s="37">
        <f>IFERROR(($C$24+H$43*$C$25+(1-H$43)*$C$27*$C$26)/$B47,0)</f>
        <v>0.039453414616372445</v>
      </c>
      <c r="I47" s="37">
        <f>IFERROR(($C$24+I$43*$C$25+(1-I$43)*$C$27*$C$26)/$B47,0)</f>
        <v>0.02855900128978919</v>
      </c>
    </row>
    <row r="48">
      <c r="B48" s="23">
        <f>INDEX($C$29:$I$29,1,5)*$D$27</f>
        <v>58.5</v>
      </c>
      <c r="C48" s="37">
        <f>IFERROR(($C$24+C$43*$C$25+(1-C$43)*$C$27*$C$26)/$B48,0)</f>
        <v>0.07345056008547021</v>
      </c>
      <c r="D48" s="37">
        <f>IFERROR(($C$24+D$43*$C$25+(1-D$43)*$C$27*$C$26)/$B48,0)</f>
        <v>0.06863187726794301</v>
      </c>
      <c r="E48" s="37">
        <f>IFERROR(($C$24+E$43*$C$25+(1-E$43)*$C$27*$C$26)/$B48,0)</f>
        <v>0.0638131944504158</v>
      </c>
      <c r="F48" s="37">
        <f>IFERROR(($C$24+F$43*$C$25+(1-F$43)*$C$27*$C$26)/$B48,0)</f>
        <v>0.05417582881536137</v>
      </c>
      <c r="G48" s="37">
        <f>IFERROR(($C$24+G$43*$C$25+(1-G$43)*$C$27*$C$26)/$B48,0)</f>
        <v>0.044538463180306964</v>
      </c>
      <c r="H48" s="37">
        <f>IFERROR(($C$24+H$43*$C$25+(1-H$43)*$C$27*$C$26)/$B48,0)</f>
        <v>0.034901097545252543</v>
      </c>
      <c r="I48" s="37">
        <f>IFERROR(($C$24+I$43*$C$25+(1-I$43)*$C$27*$C$26)/$B48,0)</f>
        <v>0.025263731910198126</v>
      </c>
    </row>
    <row r="49">
      <c r="B49" s="23">
        <f>INDEX($C$29:$I$29,1,6)*$D$27</f>
        <v>67.5</v>
      </c>
      <c r="C49" s="37">
        <f>IFERROR(($C$24+C$43*$C$25+(1-C$43)*$C$27*$C$26)/$B49,0)</f>
        <v>0.06365715207407419</v>
      </c>
      <c r="D49" s="37">
        <f>IFERROR(($C$24+D$43*$C$25+(1-D$43)*$C$27*$C$26)/$B49,0)</f>
        <v>0.05948096029888394</v>
      </c>
      <c r="E49" s="37">
        <f>IFERROR(($C$24+E$43*$C$25+(1-E$43)*$C$27*$C$26)/$B49,0)</f>
        <v>0.0553047685236937</v>
      </c>
      <c r="F49" s="37">
        <f>IFERROR(($C$24+F$43*$C$25+(1-F$43)*$C$27*$C$26)/$B49,0)</f>
        <v>0.046952384973313194</v>
      </c>
      <c r="G49" s="37">
        <f>IFERROR(($C$24+G$43*$C$25+(1-G$43)*$C$27*$C$26)/$B49,0)</f>
        <v>0.0386000014229327</v>
      </c>
      <c r="H49" s="37">
        <f>IFERROR(($C$24+H$43*$C$25+(1-H$43)*$C$27*$C$26)/$B49,0)</f>
        <v>0.030247617872552205</v>
      </c>
      <c r="I49" s="37">
        <f>IFERROR(($C$24+I$43*$C$25+(1-I$43)*$C$27*$C$26)/$B49,0)</f>
        <v>0.02189523432217171</v>
      </c>
    </row>
    <row r="50">
      <c r="B50" s="23">
        <f>INDEX($C$29:$I$29,1,7)*$D$27</f>
        <v>90.0</v>
      </c>
      <c r="C50" s="37">
        <f>IFERROR(($C$24+C$43*$C$25+(1-C$43)*$C$27*$C$26)/$B50,0)</f>
        <v>0.04774286405555564</v>
      </c>
      <c r="D50" s="37">
        <f>IFERROR(($C$24+D$43*$C$25+(1-D$43)*$C$27*$C$26)/$B50,0)</f>
        <v>0.04461072022416295</v>
      </c>
      <c r="E50" s="37">
        <f>IFERROR(($C$24+E$43*$C$25+(1-E$43)*$C$27*$C$26)/$B50,0)</f>
        <v>0.04147857639277027</v>
      </c>
      <c r="F50" s="37">
        <f>IFERROR(($C$24+F$43*$C$25+(1-F$43)*$C$27*$C$26)/$B50,0)</f>
        <v>0.035214288729984895</v>
      </c>
      <c r="G50" s="37">
        <f>IFERROR(($C$24+G$43*$C$25+(1-G$43)*$C$27*$C$26)/$B50,0)</f>
        <v>0.028950001067199527</v>
      </c>
      <c r="H50" s="37">
        <f>IFERROR(($C$24+H$43*$C$25+(1-H$43)*$C$27*$C$26)/$B50,0)</f>
        <v>0.02268571340441415</v>
      </c>
      <c r="I50" s="37">
        <f>IFERROR(($C$24+I$43*$C$25+(1-I$43)*$C$27*$C$26)/$B50,0)</f>
        <v>0.016421425741628783</v>
      </c>
    </row>
    <row r="52">
      <c r="A52" s="4" t="inlineStr">
        <is>
          <t>Table 3: 24-month contribution LTV NET of CAC per customer ($)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B53" s="16" t="inlineStr">
        <is>
          <t>CPA \ attach</t>
        </is>
      </c>
      <c r="C53" s="25">
        <f>C$30</f>
        <v>0.0</v>
      </c>
      <c r="D53" s="25">
        <f>D$30</f>
        <v>0.05</v>
      </c>
      <c r="E53" s="25">
        <f>E$30</f>
        <v>0.1</v>
      </c>
      <c r="F53" s="25">
        <f>F$30</f>
        <v>0.2</v>
      </c>
      <c r="G53" s="25">
        <f>G$30</f>
        <v>0.3</v>
      </c>
      <c r="H53" s="25">
        <f>H$30</f>
        <v>0.4</v>
      </c>
      <c r="I53" s="25">
        <f>I$30</f>
        <v>0.5</v>
      </c>
    </row>
    <row r="54">
      <c r="B54" s="23">
        <f>INDEX($C$29:$I$29,1,1)*$D$27</f>
        <v>27.0</v>
      </c>
      <c r="C54" s="26">
        <f>($C$24+C$53*$D$25+(1-C$53)*$C$27*$D$26)-$B54</f>
        <v>-22.854847363959994</v>
      </c>
      <c r="D54" s="26">
        <f>($C$24+D$53*$D$25+(1-D$53)*$C$27*$D$26)-$B54</f>
        <v>-23.353638719964735</v>
      </c>
      <c r="E54" s="26">
        <f>($C$24+E$53*$D$25+(1-E$53)*$C$27*$D$26)-$B54</f>
        <v>-23.852430075969473</v>
      </c>
      <c r="F54" s="26">
        <f>($C$24+F$53*$D$25+(1-F$53)*$C$27*$D$26)-$B54</f>
        <v>-24.850012787978955</v>
      </c>
      <c r="G54" s="26">
        <f>($C$24+G$53*$D$25+(1-G$53)*$C$27*$D$26)-$B54</f>
        <v>-25.847595499988437</v>
      </c>
      <c r="H54" s="26">
        <f>($C$24+H$53*$D$25+(1-H$53)*$C$27*$D$26)-$B54</f>
        <v>-26.845178211997915</v>
      </c>
      <c r="I54" s="26">
        <f>($C$24+I$53*$D$25+(1-I$53)*$C$27*$D$26)-$B54</f>
        <v>-27.842760924007397</v>
      </c>
    </row>
    <row r="55">
      <c r="B55" s="23">
        <f>INDEX($C$29:$I$29,1,2)*$D$27</f>
        <v>36.0</v>
      </c>
      <c r="C55" s="26">
        <f>($C$24+C$53*$D$25+(1-C$53)*$C$27*$D$26)-$B55</f>
        <v>-31.854847363959994</v>
      </c>
      <c r="D55" s="26">
        <f>($C$24+D$53*$D$25+(1-D$53)*$C$27*$D$26)-$B55</f>
        <v>-32.353638719964735</v>
      </c>
      <c r="E55" s="26">
        <f>($C$24+E$53*$D$25+(1-E$53)*$C$27*$D$26)-$B55</f>
        <v>-32.85243007596947</v>
      </c>
      <c r="F55" s="26">
        <f>($C$24+F$53*$D$25+(1-F$53)*$C$27*$D$26)-$B55</f>
        <v>-33.850012787978955</v>
      </c>
      <c r="G55" s="26">
        <f>($C$24+G$53*$D$25+(1-G$53)*$C$27*$D$26)-$B55</f>
        <v>-34.84759549998844</v>
      </c>
      <c r="H55" s="26">
        <f>($C$24+H$53*$D$25+(1-H$53)*$C$27*$D$26)-$B55</f>
        <v>-35.84517821199792</v>
      </c>
      <c r="I55" s="26">
        <f>($C$24+I$53*$D$25+(1-I$53)*$C$27*$D$26)-$B55</f>
        <v>-36.84276092400739</v>
      </c>
    </row>
    <row r="56">
      <c r="B56" s="23">
        <f>INDEX($C$29:$I$29,1,3)*$D$27</f>
        <v>45.0</v>
      </c>
      <c r="C56" s="26">
        <f>($C$24+C$53*$D$25+(1-C$53)*$C$27*$D$26)-$B56</f>
        <v>-40.85484736395999</v>
      </c>
      <c r="D56" s="26">
        <f>($C$24+D$53*$D$25+(1-D$53)*$C$27*$D$26)-$B56</f>
        <v>-41.353638719964735</v>
      </c>
      <c r="E56" s="26">
        <f>($C$24+E$53*$D$25+(1-E$53)*$C$27*$D$26)-$B56</f>
        <v>-41.85243007596947</v>
      </c>
      <c r="F56" s="26">
        <f>($C$24+F$53*$D$25+(1-F$53)*$C$27*$D$26)-$B56</f>
        <v>-42.850012787978955</v>
      </c>
      <c r="G56" s="26">
        <f>($C$24+G$53*$D$25+(1-G$53)*$C$27*$D$26)-$B56</f>
        <v>-43.84759549998844</v>
      </c>
      <c r="H56" s="26">
        <f>($C$24+H$53*$D$25+(1-H$53)*$C$27*$D$26)-$B56</f>
        <v>-44.84517821199792</v>
      </c>
      <c r="I56" s="26">
        <f>($C$24+I$53*$D$25+(1-I$53)*$C$27*$D$26)-$B56</f>
        <v>-45.84276092400739</v>
      </c>
    </row>
    <row r="57">
      <c r="B57" s="23">
        <f>INDEX($C$29:$I$29,1,4)*$D$27</f>
        <v>51.74999999999999</v>
      </c>
      <c r="C57" s="26">
        <f>($C$24+C$53*$D$25+(1-C$53)*$C$27*$D$26)-$B57</f>
        <v>-47.60484736395998</v>
      </c>
      <c r="D57" s="26">
        <f>($C$24+D$53*$D$25+(1-D$53)*$C$27*$D$26)-$B57</f>
        <v>-48.10363871996473</v>
      </c>
      <c r="E57" s="26">
        <f>($C$24+E$53*$D$25+(1-E$53)*$C$27*$D$26)-$B57</f>
        <v>-48.602430075969465</v>
      </c>
      <c r="F57" s="26">
        <f>($C$24+F$53*$D$25+(1-F$53)*$C$27*$D$26)-$B57</f>
        <v>-49.60001278797895</v>
      </c>
      <c r="G57" s="26">
        <f>($C$24+G$53*$D$25+(1-G$53)*$C$27*$D$26)-$B57</f>
        <v>-50.59759549998843</v>
      </c>
      <c r="H57" s="26">
        <f>($C$24+H$53*$D$25+(1-H$53)*$C$27*$D$26)-$B57</f>
        <v>-51.59517821199791</v>
      </c>
      <c r="I57" s="26">
        <f>($C$24+I$53*$D$25+(1-I$53)*$C$27*$D$26)-$B57</f>
        <v>-52.592760924007386</v>
      </c>
    </row>
    <row r="58">
      <c r="B58" s="23">
        <f>INDEX($C$29:$I$29,1,5)*$D$27</f>
        <v>58.5</v>
      </c>
      <c r="C58" s="26">
        <f>($C$24+C$53*$D$25+(1-C$53)*$C$27*$D$26)-$B58</f>
        <v>-54.35484736395999</v>
      </c>
      <c r="D58" s="26">
        <f>($C$24+D$53*$D$25+(1-D$53)*$C$27*$D$26)-$B58</f>
        <v>-54.853638719964735</v>
      </c>
      <c r="E58" s="26">
        <f>($C$24+E$53*$D$25+(1-E$53)*$C$27*$D$26)-$B58</f>
        <v>-55.35243007596947</v>
      </c>
      <c r="F58" s="26">
        <f>($C$24+F$53*$D$25+(1-F$53)*$C$27*$D$26)-$B58</f>
        <v>-56.350012787978955</v>
      </c>
      <c r="G58" s="26">
        <f>($C$24+G$53*$D$25+(1-G$53)*$C$27*$D$26)-$B58</f>
        <v>-57.34759549998844</v>
      </c>
      <c r="H58" s="26">
        <f>($C$24+H$53*$D$25+(1-H$53)*$C$27*$D$26)-$B58</f>
        <v>-58.34517821199792</v>
      </c>
      <c r="I58" s="26">
        <f>($C$24+I$53*$D$25+(1-I$53)*$C$27*$D$26)-$B58</f>
        <v>-59.34276092400739</v>
      </c>
    </row>
    <row r="59">
      <c r="B59" s="23">
        <f>INDEX($C$29:$I$29,1,6)*$D$27</f>
        <v>67.5</v>
      </c>
      <c r="C59" s="26">
        <f>($C$24+C$53*$D$25+(1-C$53)*$C$27*$D$26)-$B59</f>
        <v>-63.35484736395999</v>
      </c>
      <c r="D59" s="26">
        <f>($C$24+D$53*$D$25+(1-D$53)*$C$27*$D$26)-$B59</f>
        <v>-63.853638719964735</v>
      </c>
      <c r="E59" s="26">
        <f>($C$24+E$53*$D$25+(1-E$53)*$C$27*$D$26)-$B59</f>
        <v>-64.35243007596948</v>
      </c>
      <c r="F59" s="26">
        <f>($C$24+F$53*$D$25+(1-F$53)*$C$27*$D$26)-$B59</f>
        <v>-65.35001278797895</v>
      </c>
      <c r="G59" s="26">
        <f>($C$24+G$53*$D$25+(1-G$53)*$C$27*$D$26)-$B59</f>
        <v>-66.34759549998843</v>
      </c>
      <c r="H59" s="26">
        <f>($C$24+H$53*$D$25+(1-H$53)*$C$27*$D$26)-$B59</f>
        <v>-67.34517821199792</v>
      </c>
      <c r="I59" s="26">
        <f>($C$24+I$53*$D$25+(1-I$53)*$C$27*$D$26)-$B59</f>
        <v>-68.3427609240074</v>
      </c>
    </row>
    <row r="60">
      <c r="B60" s="23">
        <f>INDEX($C$29:$I$29,1,7)*$D$27</f>
        <v>90.0</v>
      </c>
      <c r="C60" s="26">
        <f>($C$24+C$53*$D$25+(1-C$53)*$C$27*$D$26)-$B60</f>
        <v>-85.85484736395999</v>
      </c>
      <c r="D60" s="26">
        <f>($C$24+D$53*$D$25+(1-D$53)*$C$27*$D$26)-$B60</f>
        <v>-86.35363871996474</v>
      </c>
      <c r="E60" s="26">
        <f>($C$24+E$53*$D$25+(1-E$53)*$C$27*$D$26)-$B60</f>
        <v>-86.85243007596948</v>
      </c>
      <c r="F60" s="26">
        <f>($C$24+F$53*$D$25+(1-F$53)*$C$27*$D$26)-$B60</f>
        <v>-87.85001278797895</v>
      </c>
      <c r="G60" s="26">
        <f>($C$24+G$53*$D$25+(1-G$53)*$C$27*$D$26)-$B60</f>
        <v>-88.84759549998843</v>
      </c>
      <c r="H60" s="26">
        <f>($C$24+H$53*$D$25+(1-H$53)*$C$27*$D$26)-$B60</f>
        <v>-89.84517821199792</v>
      </c>
      <c r="I60" s="26">
        <f>($C$24+I$53*$D$25+(1-I$53)*$C$27*$D$26)-$B60</f>
        <v>-90.8427609240074</v>
      </c>
    </row>
    <row r="62">
      <c r="A62" s="2" t="inlineStr">
        <is>
          <t>Check: Table 1 at base CPA (factor 1.0) and base attach should equal the Base row's 12-mo LTV net of CAC above.</t>
        </is>
      </c>
    </row>
    <row r="63">
      <c r="A63" s="3" t="inlineStr">
        <is>
          <t>Closed-form value at base CPA and base attach</t>
        </is>
      </c>
      <c r="C63" s="26">
        <f>$C$24+Cat_Cohort!$B$125*$C$25+(1-Cat_Cohort!$B$125)*$C$27*$C$26-$D$27</f>
        <v>-41.83071401430136</v>
      </c>
    </row>
    <row r="64">
      <c r="A64" s="3" t="inlineStr">
        <is>
          <t>Difference vs cohort engine (should be 0)</t>
        </is>
      </c>
      <c r="C64" s="26">
        <f>ROUND(C63-H14,6)</f>
        <v>0.0</v>
      </c>
    </row>
  </sheetData>
  <conditionalFormatting sqref="C34:I40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C44:I50">
    <cfRule type="cellIs" priority="3" operator="lessThan" dxfId="0">
      <formula>1</formula>
    </cfRule>
    <cfRule type="cellIs" priority="4" operator="greaterThanOrEqual" dxfId="1">
      <formula>1.5</formula>
    </cfRule>
  </conditionalFormatting>
  <conditionalFormatting sqref="C54:I60">
    <cfRule type="cellIs" priority="5" operator="lessThan" dxfId="0">
      <formula>0</formula>
    </cfRule>
    <cfRule type="cellIs" priority="6" operator="greaterThanOrEqual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2" customWidth="1" min="2" max="2"/>
    <col width="16" customWidth="1" min="3" max="3"/>
    <col width="16" customWidth="1" min="4" max="4"/>
    <col width="16" customWidth="1" min="5" max="5"/>
    <col width="46" customWidth="1" min="6" max="6"/>
  </cols>
  <sheetData>
    <row r="1">
      <c r="A1" s="15" t="inlineStr">
        <is>
          <t>Launch_Budget: cash needed before the first private-label sale, runway and break-even (cat BASE CASE)</t>
        </is>
      </c>
    </row>
    <row r="2">
      <c r="A2" s="2" t="str">
        <f>"Tier quantities from Inputs section O; unit costs from the SELECTED scenario ("&amp;Inputs!$E$3&amp;"). Tier chosen for GoNoGo: "&amp;Inputs!$E$5</f>
        <v>Tier quantities from Inputs section O; unit costs from the SELECTED scenario (Base). Tier chosen for GoNoGo: Lean</v>
      </c>
    </row>
    <row r="4">
      <c r="A4" s="18" t="inlineStr">
        <is>
          <t>Line item</t>
        </is>
      </c>
      <c r="B4" s="18" t="inlineStr"/>
      <c r="C4" s="18" t="inlineStr">
        <is>
          <t>Lean</t>
        </is>
      </c>
      <c r="D4" s="18" t="inlineStr">
        <is>
          <t>Moderate</t>
        </is>
      </c>
      <c r="E4" s="18" t="inlineStr">
        <is>
          <t>Higher-capital</t>
        </is>
      </c>
      <c r="F4" s="18" t="inlineStr">
        <is>
          <t>Basis</t>
        </is>
      </c>
    </row>
    <row r="5">
      <c r="A5" s="4" t="inlineStr">
        <is>
          <t>One-time costs before first private-label sale</t>
        </is>
      </c>
      <c r="B5" s="5" t="n"/>
      <c r="C5" s="5" t="n"/>
      <c r="D5" s="5" t="n"/>
      <c r="E5" s="5" t="n"/>
      <c r="F5" s="5" t="n"/>
    </row>
    <row r="6">
      <c r="A6" s="3" t="inlineStr">
        <is>
          <t>Samples (off-the-shelf x suppliers + express) + golden sample</t>
        </is>
      </c>
      <c r="C6" s="33">
        <f>Inputs!$D$171*(Inputs!$D$172+Inputs!$D$173)+Inputs!$D$174</f>
        <v>630.0</v>
      </c>
      <c r="D6" s="33">
        <f>Inputs!$E$171*(Inputs!$E$172+Inputs!$E$173)+Inputs!$E$174</f>
        <v>1440.0</v>
      </c>
      <c r="E6" s="33">
        <f>Inputs!$F$171*(Inputs!$F$172+Inputs!$F$173)+Inputs!$F$174</f>
        <v>2550.0</v>
      </c>
      <c r="F6" s="2" t="inlineStr">
        <is>
          <t>Incl. &gt;=1 non-China OEM (client default)</t>
        </is>
      </c>
    </row>
    <row r="7">
      <c r="A7" s="3" t="inlineStr">
        <is>
          <t>Certification tests: FCC Part 15B + Prop 65 + food-contact</t>
        </is>
      </c>
      <c r="C7" s="33">
        <f>Inputs!$G$49+Inputs!$G$50+Inputs!$G$51</f>
        <v>4650.0</v>
      </c>
      <c r="D7" s="33">
        <f>Inputs!$G$49+Inputs!$G$50+Inputs!$G$51</f>
        <v>4650.0</v>
      </c>
      <c r="E7" s="33">
        <f>Inputs!$G$49+Inputs!$G$50+Inputs!$G$51</f>
        <v>4650.0</v>
      </c>
      <c r="F7" s="2" t="inlineStr">
        <is>
          <t>Selected scenario lab prices</t>
        </is>
      </c>
    </row>
    <row r="8">
      <c r="A8" s="3" t="inlineStr">
        <is>
          <t>Packaging design</t>
        </is>
      </c>
      <c r="C8" s="57">
        <f>Inputs!$D$175</f>
        <v>500.0</v>
      </c>
      <c r="D8" s="57">
        <f>Inputs!$E$175</f>
        <v>1500.0</v>
      </c>
      <c r="E8" s="57">
        <f>Inputs!$F$175</f>
        <v>3000.0</v>
      </c>
      <c r="F8" s="2" t="inlineStr"/>
    </row>
    <row r="9">
      <c r="A9" s="3" t="inlineStr">
        <is>
          <t>Brand identity, site theme, launch creative setup</t>
        </is>
      </c>
      <c r="C9" s="57">
        <f>Inputs!$D$176</f>
        <v>500.0</v>
      </c>
      <c r="D9" s="57">
        <f>Inputs!$E$176</f>
        <v>2000.0</v>
      </c>
      <c r="E9" s="57">
        <f>Inputs!$F$176</f>
        <v>5000.0</v>
      </c>
      <c r="F9" s="2" t="inlineStr"/>
    </row>
    <row r="10">
      <c r="A10" s="3" t="inlineStr">
        <is>
          <t>MOQ inventory - fountains (FOB incl. listed adapter)</t>
        </is>
      </c>
      <c r="C10" s="33">
        <f>Inputs!$D$177*(Inputs!$G$36+Inputs!$G$37)</f>
        <v>5885.0</v>
      </c>
      <c r="D10" s="33">
        <f>Inputs!$E$177*(Inputs!$G$36+Inputs!$G$37)</f>
        <v>8827.5</v>
      </c>
      <c r="E10" s="33">
        <f>Inputs!$F$177*(Inputs!$G$36+Inputs!$G$37)</f>
        <v>11770.0</v>
      </c>
      <c r="F10" s="2" t="inlineStr"/>
    </row>
    <row r="11">
      <c r="A11" s="3" t="inlineStr">
        <is>
          <t>Inventory - filters for US stock</t>
        </is>
      </c>
      <c r="C11" s="33">
        <f>Inputs!$D$178*Inputs!$G$56</f>
        <v>490.0</v>
      </c>
      <c r="D11" s="33">
        <f>Inputs!$E$178*Inputs!$G$56</f>
        <v>784.0</v>
      </c>
      <c r="E11" s="33">
        <f>Inputs!$F$178*Inputs!$G$56</f>
        <v>1470.0</v>
      </c>
      <c r="F11" s="2" t="inlineStr">
        <is>
          <t>The one US-stocked consumable line</t>
        </is>
      </c>
    </row>
    <row r="12">
      <c r="A12" s="3" t="inlineStr">
        <is>
          <t>Inventory - litter mats</t>
        </is>
      </c>
      <c r="C12" s="33">
        <f>Inputs!$D$179*Inputs!$G$53</f>
        <v>0.0</v>
      </c>
      <c r="D12" s="33">
        <f>Inputs!$E$179*Inputs!$G$53</f>
        <v>600.0</v>
      </c>
      <c r="E12" s="33">
        <f>Inputs!$F$179*Inputs!$G$53</f>
        <v>1500.0</v>
      </c>
      <c r="F12" s="2" t="inlineStr"/>
    </row>
    <row r="13">
      <c r="A13" s="3" t="inlineStr">
        <is>
          <t>Retail packaging (fountain boxes, filter pouches)</t>
        </is>
      </c>
      <c r="C13" s="33">
        <f>Inputs!$D$177*Inputs!$G$48+Inputs!$D$178/Inputs!$G$15*Inputs!$G$59</f>
        <v>533.3333333333334</v>
      </c>
      <c r="D13" s="33">
        <f>Inputs!$E$177*Inputs!$G$48+Inputs!$E$178/Inputs!$G$15*Inputs!$G$59</f>
        <v>803.3333333333334</v>
      </c>
      <c r="E13" s="33">
        <f>Inputs!$F$177*Inputs!$G$48+Inputs!$F$178/Inputs!$G$15*Inputs!$G$59</f>
        <v>1100.0</v>
      </c>
      <c r="F13" s="2" t="inlineStr"/>
    </row>
    <row r="14">
      <c r="A14" s="3" t="inlineStr">
        <is>
          <t>International freight (LCL fountains/mats; filters)</t>
        </is>
      </c>
      <c r="C14" s="33">
        <f>Inputs!$D$177*Inputs!$G$38+Inputs!$D$178/Inputs!$G$15*Inputs!$G$58+Inputs!$D$179*Inputs!$G$55</f>
        <v>1916.6666666666667</v>
      </c>
      <c r="D14" s="33">
        <f>Inputs!$E$177*Inputs!$G$38+Inputs!$E$178/Inputs!$G$15*Inputs!$G$58+Inputs!$E$179*Inputs!$G$55</f>
        <v>3051.6666666666665</v>
      </c>
      <c r="E14" s="33">
        <f>Inputs!$F$177*Inputs!$G$38+Inputs!$F$178/Inputs!$G$15*Inputs!$G$58+Inputs!$F$179*Inputs!$G$55</f>
        <v>4400.0</v>
      </c>
      <c r="F14" s="2" t="inlineStr"/>
    </row>
    <row r="15">
      <c r="A15" s="3" t="inlineStr">
        <is>
          <t>Duties (Section 301 stack)</t>
        </is>
      </c>
      <c r="C15" s="33">
        <f>C10*Inputs!$G$39+C11*Inputs!$G$57+C12*Inputs!$G$54</f>
        <v>2390.625</v>
      </c>
      <c r="D15" s="33">
        <f>D10*Inputs!$G$39+D11*Inputs!$G$57+D12*Inputs!$G$54</f>
        <v>3859.3125</v>
      </c>
      <c r="E15" s="33">
        <f>E10*Inputs!$G$39+E11*Inputs!$G$57+E12*Inputs!$G$54</f>
        <v>5602.5</v>
      </c>
      <c r="F15" s="2" t="inlineStr"/>
    </row>
    <row r="16">
      <c r="A16" s="3" t="inlineStr">
        <is>
          <t>Customs entry: broker + ISF + bond + MPF + HMF (one consolidated entry)</t>
        </is>
      </c>
      <c r="C16" s="33">
        <f>Inputs!$G$41+Inputs!$G$42+Inputs!$G$43+MAX(Inputs!$G$45,MIN(Inputs!$G$46,Inputs!$G$44*(C10+C11+C12)))+Inputs!$G$47*(C10+C11+C12)</f>
        <v>316.54875</v>
      </c>
      <c r="D16" s="33">
        <f>Inputs!$G$41+Inputs!$G$42+Inputs!$G$43+MAX(Inputs!$G$45,MIN(Inputs!$G$46,Inputs!$G$44*(D10+D11+D12)))+Inputs!$G$47*(D10+D11+D12)</f>
        <v>323.13701100000003</v>
      </c>
      <c r="E16" s="33">
        <f>Inputs!$G$41+Inputs!$G$42+Inputs!$G$43+MAX(Inputs!$G$45,MIN(Inputs!$G$46,Inputs!$G$44*(E10+E11+E12)))+Inputs!$G$47*(E10+E11+E12)</f>
        <v>344.48436</v>
      </c>
      <c r="F16" s="2" t="inlineStr"/>
    </row>
    <row r="17">
      <c r="A17" s="3" t="inlineStr">
        <is>
          <t>3PL setup/integration + receiving</t>
        </is>
      </c>
      <c r="C17" s="33">
        <f>Inputs!$G$98+Inputs!$G$95*Inputs!$G$97</f>
        <v>639.56</v>
      </c>
      <c r="D17" s="33">
        <f>Inputs!$G$98+Inputs!$G$95*Inputs!$G$97</f>
        <v>639.56</v>
      </c>
      <c r="E17" s="33">
        <f>Inputs!$G$98+Inputs!$G$95*Inputs!$G$97</f>
        <v>639.56</v>
      </c>
      <c r="F17" s="2" t="inlineStr"/>
    </row>
    <row r="18">
      <c r="A18" s="3" t="inlineStr">
        <is>
          <t>Custom filter-frame mold</t>
        </is>
      </c>
      <c r="C18" s="57">
        <f>Inputs!$D$180</f>
        <v>0.0</v>
      </c>
      <c r="D18" s="57">
        <f>Inputs!$E$180</f>
        <v>0.0</v>
      </c>
      <c r="E18" s="57">
        <f>Inputs!$F$180</f>
        <v>4000.0</v>
      </c>
      <c r="F18" s="2" t="inlineStr"/>
    </row>
    <row r="19">
      <c r="A19" s="16" t="inlineStr">
        <is>
          <t>Subtotal one-time</t>
        </is>
      </c>
      <c r="C19" s="30">
        <f>SUM(C6:C18)</f>
        <v>18451.73375</v>
      </c>
      <c r="D19" s="30">
        <f>SUM(D6:D18)</f>
        <v>28478.509511</v>
      </c>
      <c r="E19" s="30">
        <f>SUM(E6:E18)</f>
        <v>46026.54436</v>
      </c>
      <c r="F19" s="2" t="inlineStr"/>
    </row>
    <row r="20">
      <c r="A20" s="3" t="inlineStr">
        <is>
          <t>Contingency</t>
        </is>
      </c>
      <c r="C20" s="33">
        <f>Inputs!$D$187*C19</f>
        <v>1845.173375</v>
      </c>
      <c r="D20" s="33">
        <f>Inputs!$E$187*D19</f>
        <v>4271.77642665</v>
      </c>
      <c r="E20" s="33">
        <f>Inputs!$F$187*E19</f>
        <v>6903.981654</v>
      </c>
      <c r="F20" s="2" t="inlineStr"/>
    </row>
    <row r="21">
      <c r="A21" s="16" t="inlineStr">
        <is>
          <t>TOTAL ONE-TIME COSTS</t>
        </is>
      </c>
      <c r="C21" s="49">
        <f>C19+C20</f>
        <v>20296.907124999998</v>
      </c>
      <c r="D21" s="49">
        <f>D19+D20</f>
        <v>32750.28593765</v>
      </c>
      <c r="E21" s="49">
        <f>E19+E20</f>
        <v>52930.526014</v>
      </c>
      <c r="F21" s="2" t="inlineStr"/>
    </row>
    <row r="23">
      <c r="A23" s="4" t="inlineStr">
        <is>
          <t>Monthly fixed costs - test stage (before first private-label sale)</t>
        </is>
      </c>
      <c r="B23" s="5" t="n"/>
      <c r="C23" s="5" t="n"/>
      <c r="D23" s="5" t="n"/>
      <c r="E23" s="5" t="n"/>
      <c r="F23" s="5" t="n"/>
    </row>
    <row r="24">
      <c r="A24" s="3" t="inlineStr">
        <is>
          <t>Shopify + AutoDS + Klaviyo + reviews + subscription app</t>
        </is>
      </c>
      <c r="C24" s="33">
        <f>Inputs!$G$152+Inputs!$G$153+Inputs!$G$154+Inputs!$G$155+Inputs!$G$156</f>
        <v>123.75</v>
      </c>
      <c r="D24" s="33">
        <f>Inputs!$G$152+Inputs!$G$153+Inputs!$G$154+Inputs!$G$155+Inputs!$G$156</f>
        <v>123.75</v>
      </c>
      <c r="E24" s="33">
        <f>Inputs!$G$152+Inputs!$G$153+Inputs!$G$154+Inputs!$G$155+Inputs!$G$156</f>
        <v>123.75</v>
      </c>
      <c r="F24" s="2" t="inlineStr"/>
    </row>
    <row r="25">
      <c r="A25" s="3" t="inlineStr">
        <is>
          <t>Insurance (GL + product liability)</t>
        </is>
      </c>
      <c r="C25" s="57">
        <f>Inputs!$G$157</f>
        <v>100.0</v>
      </c>
      <c r="D25" s="57">
        <f>Inputs!$G$157</f>
        <v>100.0</v>
      </c>
      <c r="E25" s="57">
        <f>Inputs!$G$157</f>
        <v>100.0</v>
      </c>
      <c r="F25" s="2" t="inlineStr"/>
    </row>
    <row r="26">
      <c r="A26" s="3" t="inlineStr">
        <is>
          <t>UGC creative (videos x unit cost x pet premium)</t>
        </is>
      </c>
      <c r="C26" s="33">
        <f>Inputs!$D$184*Inputs!$G$125*(1+Inputs!$G$126)</f>
        <v>919.9999999999999</v>
      </c>
      <c r="D26" s="33">
        <f>Inputs!$E$184*Inputs!$G$125*(1+Inputs!$G$126)</f>
        <v>1839.9999999999998</v>
      </c>
      <c r="E26" s="33">
        <f>Inputs!$F$184*Inputs!$G$125*(1+Inputs!$G$126)</f>
        <v>2760.0</v>
      </c>
      <c r="F26" s="2" t="inlineStr"/>
    </row>
    <row r="27">
      <c r="A27" s="16" t="inlineStr">
        <is>
          <t>Total monthly fixed - test stage</t>
        </is>
      </c>
      <c r="C27" s="30">
        <f>SUM(C24:C26)</f>
        <v>1143.75</v>
      </c>
      <c r="D27" s="30">
        <f>SUM(D24:D26)</f>
        <v>2063.75</v>
      </c>
      <c r="E27" s="30">
        <f>SUM(E24:E26)</f>
        <v>2983.75</v>
      </c>
      <c r="F27" s="2" t="inlineStr"/>
    </row>
    <row r="29">
      <c r="A29" s="4" t="inlineStr">
        <is>
          <t>Monthly fixed costs - after first private-label sale</t>
        </is>
      </c>
      <c r="B29" s="5" t="n"/>
      <c r="C29" s="5" t="n"/>
      <c r="D29" s="5" t="n"/>
      <c r="E29" s="5" t="n"/>
      <c r="F29" s="5" t="n"/>
    </row>
    <row r="30">
      <c r="A30" s="3" t="inlineStr">
        <is>
          <t>Shopify + Klaviyo + reviews + subscription app (AutoDS dropped)</t>
        </is>
      </c>
      <c r="C30" s="33">
        <f>Inputs!$G$152+Inputs!$G$154+Inputs!$G$155+Inputs!$G$156</f>
        <v>83.95</v>
      </c>
      <c r="D30" s="33">
        <f>Inputs!$G$152+Inputs!$G$154+Inputs!$G$155+Inputs!$G$156</f>
        <v>83.95</v>
      </c>
      <c r="E30" s="33">
        <f>Inputs!$G$152+Inputs!$G$154+Inputs!$G$155+Inputs!$G$156</f>
        <v>83.95</v>
      </c>
      <c r="F30" s="2" t="inlineStr"/>
    </row>
    <row r="31">
      <c r="A31" s="3" t="inlineStr">
        <is>
          <t>Insurance</t>
        </is>
      </c>
      <c r="C31" s="57">
        <f>Inputs!$G$157</f>
        <v>100.0</v>
      </c>
      <c r="D31" s="57">
        <f>Inputs!$G$157</f>
        <v>100.0</v>
      </c>
      <c r="E31" s="57">
        <f>Inputs!$G$157</f>
        <v>100.0</v>
      </c>
      <c r="F31" s="2" t="inlineStr"/>
    </row>
    <row r="32">
      <c r="A32" s="3" t="inlineStr">
        <is>
          <t>UGC creative</t>
        </is>
      </c>
      <c r="C32" s="33">
        <f>Inputs!$D$184*Inputs!$G$125*(1+Inputs!$G$126)</f>
        <v>919.9999999999999</v>
      </c>
      <c r="D32" s="33">
        <f>Inputs!$E$184*Inputs!$G$125*(1+Inputs!$G$126)</f>
        <v>1839.9999999999998</v>
      </c>
      <c r="E32" s="33">
        <f>Inputs!$F$184*Inputs!$G$125*(1+Inputs!$G$126)</f>
        <v>2760.0</v>
      </c>
      <c r="F32" s="2" t="inlineStr"/>
    </row>
    <row r="33">
      <c r="A33" s="3" t="inlineStr">
        <is>
          <t>3PL storage (pallets x rate)</t>
        </is>
      </c>
      <c r="C33" s="33">
        <f>Inputs!$G$95*Inputs!$G$94</f>
        <v>75.0</v>
      </c>
      <c r="D33" s="33">
        <f>Inputs!$G$95*Inputs!$G$94</f>
        <v>75.0</v>
      </c>
      <c r="E33" s="33">
        <f>Inputs!$G$95*Inputs!$G$94</f>
        <v>75.0</v>
      </c>
      <c r="F33" s="2" t="inlineStr"/>
    </row>
    <row r="34">
      <c r="A34" s="3" t="inlineStr">
        <is>
          <t>Planned new paid customers per month (post-PL ad budget / CPA m4-12)</t>
        </is>
      </c>
      <c r="C34" s="46">
        <f>Inputs!$D$185/Inputs!$G$112</f>
        <v>33.333333333333336</v>
      </c>
      <c r="D34" s="46">
        <f>Inputs!$E$185/Inputs!$G$112</f>
        <v>66.66666666666667</v>
      </c>
      <c r="E34" s="46">
        <f>Inputs!$F$185/Inputs!$G$112</f>
        <v>133.33333333333334</v>
      </c>
      <c r="F34" s="2" t="inlineStr"/>
    </row>
    <row r="35">
      <c r="A35" s="3" t="inlineStr">
        <is>
          <t>3PL minimum shortfall (minimum less expected pick/pack fees)</t>
        </is>
      </c>
      <c r="C35" s="33">
        <f>MAX(0,Inputs!$G$96-C34*(Inputs!$G$88+Inputs!$G$90)*(1+Inputs!$G$92))</f>
        <v>330.0</v>
      </c>
      <c r="D35" s="33">
        <f>MAX(0,Inputs!$G$96-D34*(Inputs!$G$88+Inputs!$G$90)*(1+Inputs!$G$92))</f>
        <v>159.99999999999994</v>
      </c>
      <c r="E35" s="33">
        <f>MAX(0,Inputs!$G$96-E34*(Inputs!$G$88+Inputs!$G$90)*(1+Inputs!$G$92))</f>
        <v>0.0</v>
      </c>
      <c r="F35" s="2" t="inlineStr">
        <is>
          <t>Rough: first orders only</t>
        </is>
      </c>
    </row>
    <row r="36">
      <c r="A36" s="16" t="inlineStr">
        <is>
          <t>Total monthly fixed - after PL launch</t>
        </is>
      </c>
      <c r="C36" s="30">
        <f>C30+C31+C32+C33+C35</f>
        <v>1508.9499999999998</v>
      </c>
      <c r="D36" s="30">
        <f>D30+D31+D32+D33+D35</f>
        <v>2258.95</v>
      </c>
      <c r="E36" s="30">
        <f>E30+E31+E32+E33+E35</f>
        <v>3018.95</v>
      </c>
      <c r="F36" s="2" t="inlineStr"/>
    </row>
    <row r="38">
      <c r="A38" s="4" t="inlineStr">
        <is>
          <t>Advertising</t>
        </is>
      </c>
      <c r="B38" s="5" t="n"/>
      <c r="C38" s="5" t="n"/>
      <c r="D38" s="5" t="n"/>
      <c r="E38" s="5" t="n"/>
      <c r="F38" s="5" t="n"/>
    </row>
    <row r="39">
      <c r="A39" s="3" t="inlineStr">
        <is>
          <t>Test ad budget (AliExpress creative test)</t>
        </is>
      </c>
      <c r="C39" s="33">
        <f>Inputs!$D$181*Inputs!$D$182</f>
        <v>3000.0</v>
      </c>
      <c r="D39" s="33">
        <f>Inputs!$E$181*Inputs!$E$182</f>
        <v>6000.0</v>
      </c>
      <c r="E39" s="33">
        <f>Inputs!$F$181*Inputs!$F$182</f>
        <v>12000.0</v>
      </c>
      <c r="F39" s="2" t="inlineStr"/>
    </row>
    <row r="40">
      <c r="A40" s="3" t="inlineStr">
        <is>
          <t>Post-PL monthly ad budget</t>
        </is>
      </c>
      <c r="C40" s="57">
        <f>Inputs!$D$185</f>
        <v>1500.0</v>
      </c>
      <c r="D40" s="57">
        <f>Inputs!$E$185</f>
        <v>3000.0</v>
      </c>
      <c r="E40" s="57">
        <f>Inputs!$F$185</f>
        <v>6000.0</v>
      </c>
      <c r="F40" s="2" t="inlineStr"/>
    </row>
    <row r="42">
      <c r="A42" s="4" t="inlineStr">
        <is>
          <t>Cash needed and runway</t>
        </is>
      </c>
      <c r="B42" s="5" t="n"/>
      <c r="C42" s="5" t="n"/>
      <c r="D42" s="5" t="n"/>
      <c r="E42" s="5" t="n"/>
      <c r="F42" s="5" t="n"/>
    </row>
    <row r="43">
      <c r="A43" s="3" t="inlineStr">
        <is>
          <t>Fixed costs until first PL sale (monthly fixed x months to PL)</t>
        </is>
      </c>
      <c r="C43" s="33">
        <f>C27*Inputs!$D$183</f>
        <v>5718.75</v>
      </c>
      <c r="D43" s="33">
        <f>D27*Inputs!$E$183</f>
        <v>10318.75</v>
      </c>
      <c r="E43" s="33">
        <f>E27*Inputs!$F$183</f>
        <v>11935.0</v>
      </c>
      <c r="F43" s="2" t="inlineStr"/>
    </row>
    <row r="44">
      <c r="A44" s="3" t="inlineStr">
        <is>
          <t>Test-stage first orders (test ad budget / CPA m1-3)</t>
        </is>
      </c>
      <c r="C44" s="46">
        <f>C39/Inputs!$G$111</f>
        <v>50.0</v>
      </c>
      <c r="D44" s="46">
        <f>D39/Inputs!$G$111</f>
        <v>100.0</v>
      </c>
      <c r="E44" s="46">
        <f>E39/Inputs!$G$111</f>
        <v>200.0</v>
      </c>
      <c r="F44" s="2" t="inlineStr"/>
    </row>
    <row r="45">
      <c r="A45" s="3" t="inlineStr">
        <is>
          <t>Contribution before ads recovered from test orders</t>
        </is>
      </c>
      <c r="C45" s="33">
        <f>C44*Cat_UnitEcon!$B$50</f>
        <v>185.16450000000015</v>
      </c>
      <c r="D45" s="33">
        <f>D44*Cat_UnitEcon!$B$50</f>
        <v>370.3290000000003</v>
      </c>
      <c r="E45" s="33">
        <f>E44*Cat_UnitEcon!$B$50</f>
        <v>740.6580000000006</v>
      </c>
      <c r="F45" s="2" t="inlineStr">
        <is>
          <t>Selected (a) contribution before ads</t>
        </is>
      </c>
    </row>
    <row r="46">
      <c r="A46" s="16" t="inlineStr">
        <is>
          <t>TOTAL CASH NEEDED BEFORE FIRST PRIVATE-LABEL SALE</t>
        </is>
      </c>
      <c r="C46" s="49">
        <f>C21+C43+C39-C45</f>
        <v>28830.492625</v>
      </c>
      <c r="D46" s="49">
        <f>D21+D43+D39-D45</f>
        <v>48698.70693765</v>
      </c>
      <c r="E46" s="49">
        <f>E21+E43+E39-E45</f>
        <v>76124.868014</v>
      </c>
      <c r="F46" s="2" t="inlineStr"/>
    </row>
    <row r="47">
      <c r="A47" s="3" t="inlineStr">
        <is>
          <t>Cash available (assumption)</t>
        </is>
      </c>
      <c r="C47" s="57">
        <f>Inputs!$D$186</f>
        <v>15000.0</v>
      </c>
      <c r="D47" s="57">
        <f>Inputs!$E$186</f>
        <v>30000.0</v>
      </c>
      <c r="E47" s="57">
        <f>Inputs!$F$186</f>
        <v>60000.0</v>
      </c>
      <c r="F47" s="2" t="inlineStr"/>
    </row>
    <row r="48">
      <c r="A48" s="16" t="inlineStr">
        <is>
          <t>Cash remaining at first PL sale</t>
        </is>
      </c>
      <c r="C48" s="30">
        <f>C47-C46</f>
        <v>-13830.492624999999</v>
      </c>
      <c r="D48" s="30">
        <f>D47-D46</f>
        <v>-18698.70693765</v>
      </c>
      <c r="E48" s="30">
        <f>E47-E46</f>
        <v>-16124.868014000007</v>
      </c>
      <c r="F48" s="2" t="inlineStr"/>
    </row>
    <row r="49">
      <c r="A49" s="3" t="inlineStr">
        <is>
          <t>Months of runway at launch (cash less one-time costs, at test-stage burn)</t>
        </is>
      </c>
      <c r="C49" s="46">
        <f>MAX(0,IFERROR((C47-C21)/(C27+Inputs!$D$181),0))</f>
        <v>0.0</v>
      </c>
      <c r="D49" s="46">
        <f>MAX(0,IFERROR((D47-D21)/(D27+Inputs!$E$181),0))</f>
        <v>0.0</v>
      </c>
      <c r="E49" s="46">
        <f>MAX(0,IFERROR((E47-E21)/(E27+Inputs!$F$181),0))</f>
        <v>1.0122747787363517</v>
      </c>
      <c r="F49" s="2" t="inlineStr">
        <is>
          <t>0 = one-time costs alone exceed cash</t>
        </is>
      </c>
    </row>
    <row r="50">
      <c r="A50" s="3" t="inlineStr">
        <is>
          <t>Certification amortization inside per-fountain contribution (added back: its cash is already in one-time costs)</t>
        </is>
      </c>
      <c r="C50" s="39">
        <f>Cat_UnitEcon!$B$21</f>
        <v>4.65</v>
      </c>
      <c r="D50" s="39">
        <f>Cat_UnitEcon!$B$21</f>
        <v>4.65</v>
      </c>
      <c r="E50" s="39">
        <f>Cat_UnitEcon!$B$21</f>
        <v>4.65</v>
      </c>
      <c r="F50" s="2" t="inlineStr">
        <is>
          <t>FIX: avoids double-counting certification</t>
        </is>
      </c>
    </row>
    <row r="51">
      <c r="A51" s="3" t="inlineStr">
        <is>
          <t>Post-PL monthly net burn (fixed + ads - first-order cash contribution; repeats ignored)</t>
        </is>
      </c>
      <c r="C51" s="33">
        <f>C36+C40-C34*(Cat_UnitEcon!$B$57+C50)</f>
        <v>2687.3101224999996</v>
      </c>
      <c r="D51" s="33">
        <f>D36+D40-D34*(Cat_UnitEcon!$B$57+D50)</f>
        <v>4615.670244999999</v>
      </c>
      <c r="E51" s="33">
        <f>E36+E40-E34*(Cat_UnitEcon!$B$57+E50)</f>
        <v>7732.39049</v>
      </c>
      <c r="F51" s="2" t="inlineStr">
        <is>
          <t>Cash basis; conservative: excludes renewals</t>
        </is>
      </c>
    </row>
    <row r="52">
      <c r="A52" s="16" t="inlineStr">
        <is>
          <t>Months of runway after first PL sale (999 = self-funding; 0 = cash already exhausted)</t>
        </is>
      </c>
      <c r="C52" s="48">
        <f>IF(C48&lt;=0,0,IF(C51&lt;=0,999,C48/C51))</f>
        <v>0.0</v>
      </c>
      <c r="D52" s="48">
        <f>IF(D48&lt;=0,0,IF(D51&lt;=0,999,D48/D51))</f>
        <v>0.0</v>
      </c>
      <c r="E52" s="48">
        <f>IF(E48&lt;=0,0,IF(E51&lt;=0,999,E48/E51))</f>
        <v>0.0</v>
      </c>
      <c r="F52" s="2" t="inlineStr"/>
    </row>
    <row r="54">
      <c r="A54" s="4" t="inlineStr">
        <is>
          <t>Rough break-even monthly volume (selected scenario)</t>
        </is>
      </c>
      <c r="B54" s="5" t="n"/>
      <c r="C54" s="5" t="n"/>
      <c r="D54" s="5" t="n"/>
      <c r="E54" s="5" t="n"/>
      <c r="F54" s="5" t="n"/>
    </row>
    <row r="55">
      <c r="A55" s="3" t="inlineStr">
        <is>
          <t>First orders/month to cover post-PL fixed costs IF acquisition were free</t>
        </is>
      </c>
      <c r="C55" s="41">
        <f>IF(Cat_UnitEcon!$B$57+C50&gt;0,C36/(Cat_UnitEcon!$B$57+C50),"n/a: first order loses cash before ads")</f>
        <v>156.3808994216934</v>
      </c>
      <c r="D55" s="41">
        <f>IF(Cat_UnitEcon!$B$57+D50&gt;0,D36/(Cat_UnitEcon!$B$57+D50),"n/a: first order loses cash before ads")</f>
        <v>234.10757993878812</v>
      </c>
      <c r="E55" s="41">
        <f>IF(Cat_UnitEcon!$B$57+E50&gt;0,E36/(Cat_UnitEcon!$B$57+E50),"n/a: first order loses cash before ads")</f>
        <v>312.87061619611075</v>
      </c>
      <c r="F55" s="2" t="inlineStr">
        <is>
          <t>Cash basis (certification already funded)</t>
        </is>
      </c>
    </row>
    <row r="56">
      <c r="A56" s="16" t="inlineStr">
        <is>
          <t>New paid customers/month to cover fixed costs (steady state, 12-mo LTV net of CAC, cash basis)</t>
        </is>
      </c>
      <c r="C56" s="21" t="str">
        <f>IF(Cat_Cohort!$B$49+C50&gt;0,C36/(Cat_Cohort!$B$49+C50),"Not reachable: 12-mo cash LTV &lt; CAC")</f>
        <v>Not reachable: 12-mo cash LTV &lt; CAC</v>
      </c>
      <c r="D56" s="21" t="str">
        <f>IF(Cat_Cohort!$B$49+D50&gt;0,D36/(Cat_Cohort!$B$49+D50),"Not reachable: 12-mo cash LTV &lt; CAC")</f>
        <v>Not reachable: 12-mo cash LTV &lt; CAC</v>
      </c>
      <c r="E56" s="21" t="str">
        <f>IF(Cat_Cohort!$B$49+E50&gt;0,E36/(Cat_Cohort!$B$49+E50),"Not reachable: 12-mo cash LTV &lt; CAC")</f>
        <v>Not reachable: 12-mo cash LTV &lt; CAC</v>
      </c>
      <c r="F56" s="2" t="inlineStr">
        <is>
          <t>Cash basis (certification already funded)</t>
        </is>
      </c>
    </row>
    <row r="57">
      <c r="A57" s="16" t="inlineStr">
        <is>
          <t>Equivalent total orders/month (new + repeat + renewals)</t>
        </is>
      </c>
      <c r="C57" s="21" t="str">
        <f>IF(ISNUMBER(C56),C56*Cat_Cohort!$B$57,"n/a")</f>
        <v>n/a</v>
      </c>
      <c r="D57" s="21" t="str">
        <f>IF(ISNUMBER(D56),D56*Cat_Cohort!$B$57,"n/a")</f>
        <v>n/a</v>
      </c>
      <c r="E57" s="21" t="str">
        <f>IF(ISNUMBER(E56),E56*Cat_Cohort!$B$57,"n/a")</f>
        <v>n/a</v>
      </c>
      <c r="F57" s="2" t="inlineStr"/>
    </row>
    <row r="58">
      <c r="A58" s="3" t="inlineStr">
        <is>
          <t>Implied monthly ad spend at break-even volume</t>
        </is>
      </c>
      <c r="C58" s="33" t="str">
        <f>IF(ISNUMBER(C56),C56*Inputs!$G$112,"n/a")</f>
        <v>n/a</v>
      </c>
      <c r="D58" s="33" t="str">
        <f>IF(ISNUMBER(D56),D56*Inputs!$G$112,"n/a")</f>
        <v>n/a</v>
      </c>
      <c r="E58" s="33" t="str">
        <f>IF(ISNUMBER(E56),E56*Inputs!$G$112,"n/a")</f>
        <v>n/a</v>
      </c>
      <c r="F58" s="2" t="inlineStr"/>
    </row>
    <row r="60">
      <c r="A60" s="4" t="inlineStr">
        <is>
          <t>Espresso SHADOW case comparison: core one-time cash for a first private-label kit run (selected scenario)</t>
        </is>
      </c>
      <c r="B60" s="5" t="n"/>
      <c r="C60" s="5" t="n"/>
      <c r="D60" s="5" t="n"/>
      <c r="E60" s="5" t="n"/>
      <c r="F60" s="5" t="n"/>
    </row>
    <row r="61">
      <c r="A61" s="3" t="inlineStr">
        <is>
          <t>Kit inventory (MOQ x OEM kit FOB)</t>
        </is>
      </c>
      <c r="C61" s="33">
        <f>Inputs!$G$68*Inputs!$G$65</f>
        <v>3860.0</v>
      </c>
      <c r="D61" s="33">
        <f>Inputs!$G$68*Inputs!$G$65</f>
        <v>3860.0</v>
      </c>
      <c r="E61" s="33">
        <f>Inputs!$G$68*Inputs!$G$65</f>
        <v>3860.0</v>
      </c>
      <c r="F61" s="2" t="inlineStr"/>
    </row>
    <row r="62">
      <c r="A62" s="3" t="inlineStr">
        <is>
          <t>Freight + duty + customs entry</t>
        </is>
      </c>
      <c r="C62" s="33">
        <f>Inputs!$G$68*Inputs!$G$67+C61*Inputs!$G$66+Inputs!$G$41+Inputs!$G$42+Inputs!$G$43+MAX(Inputs!$G$45,MIN(Inputs!$G$46,Inputs!$G$44*C61))+Inputs!$G$47*C61</f>
        <v>2211.4449999999997</v>
      </c>
      <c r="D62" s="33">
        <f>Inputs!$G$68*Inputs!$G$67+D61*Inputs!$G$66+Inputs!$G$41+Inputs!$G$42+Inputs!$G$43+MAX(Inputs!$G$45,MIN(Inputs!$G$46,Inputs!$G$44*D61))+Inputs!$G$47*D61</f>
        <v>2211.4449999999997</v>
      </c>
      <c r="E62" s="33">
        <f>Inputs!$G$68*Inputs!$G$67+E61*Inputs!$G$66+Inputs!$G$41+Inputs!$G$42+Inputs!$G$43+MAX(Inputs!$G$45,MIN(Inputs!$G$46,Inputs!$G$44*E61))+Inputs!$G$47*E61</f>
        <v>2211.4449999999997</v>
      </c>
      <c r="F62" s="2" t="inlineStr"/>
    </row>
    <row r="63">
      <c r="A63" s="3" t="inlineStr">
        <is>
          <t>Prop 65 (lead in brass) + food-contact tests</t>
        </is>
      </c>
      <c r="C63" s="33">
        <f>Inputs!$G$50+Inputs!$G$51</f>
        <v>1650.0</v>
      </c>
      <c r="D63" s="33">
        <f>Inputs!$G$50+Inputs!$G$51</f>
        <v>1650.0</v>
      </c>
      <c r="E63" s="33">
        <f>Inputs!$G$50+Inputs!$G$51</f>
        <v>1650.0</v>
      </c>
      <c r="F63" s="2" t="inlineStr"/>
    </row>
    <row r="64">
      <c r="A64" s="3" t="inlineStr">
        <is>
          <t>Samples (same tier logic)</t>
        </is>
      </c>
      <c r="C64" s="33">
        <f>C6</f>
        <v>630.0</v>
      </c>
      <c r="D64" s="33">
        <f>D6</f>
        <v>1440.0</v>
      </c>
      <c r="E64" s="33">
        <f>E6</f>
        <v>2550.0</v>
      </c>
      <c r="F64" s="2" t="inlineStr"/>
    </row>
    <row r="65">
      <c r="A65" s="16" t="inlineStr">
        <is>
          <t>Espresso core one-time total (excl. brand, packaging design, contingency)</t>
        </is>
      </c>
      <c r="C65" s="49">
        <f>SUM(C61:C64)</f>
        <v>8351.445</v>
      </c>
      <c r="D65" s="49">
        <f>SUM(D61:D64)</f>
        <v>9161.445</v>
      </c>
      <c r="E65" s="49">
        <f>SUM(E61:E64)</f>
        <v>10271.445</v>
      </c>
      <c r="F65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90" customWidth="1" min="10" max="10"/>
  </cols>
  <sheetData>
    <row r="1">
      <c r="A1" s="15" t="inlineStr">
        <is>
          <t>GoNoGo: proposed financial go/no-go gates, computed from the model (SELECTED scenario)</t>
        </is>
      </c>
    </row>
    <row r="2">
      <c r="A2" s="2" t="str">
        <f>"Scenario: "&amp;Inputs!$E$3&amp;" | stage: "&amp;Inputs!$E$4&amp;" | launch tier: "&amp;Inputs!$E$5&amp;". Thresholds are analyst proposals (Inputs section N)."</f>
        <v>Scenario: Base | stage: Private label (OEM + 3PL, CPA months 4-12) | launch tier: Lean. Thresholds are analyst proposals (Inputs section N).</v>
      </c>
    </row>
    <row r="4" ht="42" customHeight="1">
      <c r="A4" s="58" t="inlineStr">
        <is>
          <t>Gate</t>
        </is>
      </c>
      <c r="B4" s="58" t="inlineStr">
        <is>
          <t>Cat: GO threshold</t>
        </is>
      </c>
      <c r="C4" s="58" t="inlineStr">
        <is>
          <t>Cat: CONDITIONAL threshold</t>
        </is>
      </c>
      <c r="D4" s="58" t="inlineStr">
        <is>
          <t>Cat: model value</t>
        </is>
      </c>
      <c r="E4" s="58" t="inlineStr">
        <is>
          <t>Cat status</t>
        </is>
      </c>
      <c r="F4" s="58" t="inlineStr">
        <is>
          <t>Espresso: GO threshold</t>
        </is>
      </c>
      <c r="G4" s="58" t="inlineStr">
        <is>
          <t>Espresso: CONDITIONAL threshold</t>
        </is>
      </c>
      <c r="H4" s="58" t="inlineStr">
        <is>
          <t>Espresso: model value</t>
        </is>
      </c>
      <c r="I4" s="58" t="inlineStr">
        <is>
          <t>Espresso status</t>
        </is>
      </c>
      <c r="J4" s="58" t="inlineStr">
        <is>
          <t>How it is computed</t>
        </is>
      </c>
    </row>
    <row r="5" ht="44" customHeight="1">
      <c r="A5" s="60" t="inlineStr">
        <is>
          <t>1. Private-label CPA ceiling (paid CPA months 4-12)</t>
        </is>
      </c>
      <c r="B5" s="26">
        <f>INDEX(Cat_Cohort!$C$38:$Z$38,1,Inputs!$G$160)</f>
        <v>3.620353045323771</v>
      </c>
      <c r="C5" s="26">
        <f>MAX(B5,INDEX(Cat_Cohort!$C$38:$Z$38,1,Inputs!$G$161))</f>
        <v>3.620353045323771</v>
      </c>
      <c r="D5" s="61">
        <f>Inputs!$G$112</f>
        <v>45.0</v>
      </c>
      <c r="E5" s="16" t="str">
        <f>IF(D5&lt;=B5,"GO",IF(D5&lt;=C5,"CONDITIONAL","NO-GO"))</f>
        <v>NO-GO</v>
      </c>
      <c r="F5" s="26">
        <f>INDEX(Espresso_Cohort!$C$38:$Z$38,1,Inputs!$G$160)</f>
        <v>26.237765548355473</v>
      </c>
      <c r="G5" s="26">
        <f>MAX(F5,INDEX(Espresso_Cohort!$C$38:$Z$38,1,Inputs!$G$161))</f>
        <v>27.155183071337706</v>
      </c>
      <c r="H5" s="61">
        <f>Inputs!$G$114</f>
        <v>45.0</v>
      </c>
      <c r="I5" s="16" t="str">
        <f>IF(H5&lt;=F5,"GO",IF(H5&lt;=G5,"CONDITIONAL","NO-GO"))</f>
        <v>NO-GO</v>
      </c>
      <c r="J5" s="62" t="inlineStr">
        <is>
          <t>Ceiling = cumulative contribution before CAC per customer by the GO payback month (9) / max payback month (12, floored at the GO ceiling). Payback &lt;= N months exactly when CAC &lt;= this value. Cohort uses the stage in Inputs!D4.</t>
        </is>
      </c>
    </row>
    <row r="6" ht="44" customHeight="1">
      <c r="A6" s="60" t="inlineStr">
        <is>
          <t>2. Test-stage CPA ceiling (months 1-3 creative test)</t>
        </is>
      </c>
      <c r="B6" s="26">
        <f>B5*Inputs!$G$111/Inputs!$G$112</f>
        <v>4.827137393765028</v>
      </c>
      <c r="C6" s="26">
        <f>C5*Inputs!$G$111/Inputs!$G$112</f>
        <v>4.827137393765028</v>
      </c>
      <c r="D6" s="61">
        <f>Inputs!$G$111</f>
        <v>60.0</v>
      </c>
      <c r="E6" s="16" t="str">
        <f>IF(D6&lt;=B6,"GO",IF(D6&lt;=C6,"CONDITIONAL","NO-GO"))</f>
        <v>NO-GO</v>
      </c>
      <c r="F6" s="26">
        <f>F5*Inputs!$G$113/Inputs!$G$114</f>
        <v>34.983687397807294</v>
      </c>
      <c r="G6" s="26">
        <f>G5*Inputs!$G$113/Inputs!$G$114</f>
        <v>36.20691076178361</v>
      </c>
      <c r="H6" s="61">
        <f>Inputs!$G$113</f>
        <v>60.0</v>
      </c>
      <c r="I6" s="16" t="str">
        <f>IF(H6&lt;=F6,"GO",IF(H6&lt;=G6,"CONDITIONAL","NO-GO"))</f>
        <v>NO-GO</v>
      </c>
      <c r="J6" s="62" t="inlineStr">
        <is>
          <t>Gate 1 ceiling grossed up by the assumed learning improvement (CPA m1-3 / CPA m4-12): a test CPA above this cannot reach the private-label ceiling even after pixel learning. The test measures creative, not margin.</t>
        </is>
      </c>
    </row>
    <row r="7" ht="44" customHeight="1">
      <c r="A7" s="60" t="inlineStr">
        <is>
          <t>3. Test-stage cash break-even CPA (information)</t>
        </is>
      </c>
      <c r="B7" s="39">
        <f>Cat_UnitEcon!$B$50</f>
        <v>3.7032900000000026</v>
      </c>
      <c r="C7" s="39">
        <f>Cat_UnitEcon!$B$50</f>
        <v>3.7032900000000026</v>
      </c>
      <c r="D7" s="61">
        <f>Inputs!$G$111</f>
        <v>60.0</v>
      </c>
      <c r="E7" s="16" t="str">
        <f>IF(D7&lt;=B7,"GO","INFO: test loses cash per order")</f>
        <v>INFO: test loses cash per order</v>
      </c>
      <c r="F7" s="39">
        <f>Espresso_UnitEcon!$B$50</f>
        <v>14.623739999999998</v>
      </c>
      <c r="G7" s="39">
        <f>Espresso_UnitEcon!$B$50</f>
        <v>14.623739999999998</v>
      </c>
      <c r="H7" s="61">
        <f>Inputs!$G$113</f>
        <v>60.0</v>
      </c>
      <c r="I7" s="16" t="str">
        <f>IF(H7&lt;=F7,"GO","INFO: test loses cash per order")</f>
        <v>INFO: test loses cash per order</v>
      </c>
      <c r="J7" s="62" t="inlineStr">
        <is>
          <t>Contribution before ads on the AliExpress test order (a). Above it, every test order loses cash; expected and capped by the test budget.</t>
        </is>
      </c>
    </row>
    <row r="8" ht="44" customHeight="1">
      <c r="A8" s="60" t="inlineStr">
        <is>
          <t>4. Minimum first-order contribution margin before ads</t>
        </is>
      </c>
      <c r="B8" s="45">
        <f>Inputs!$G$164</f>
        <v>0.35</v>
      </c>
      <c r="C8" s="45">
        <f>Inputs!$G$165</f>
        <v>0.25</v>
      </c>
      <c r="D8" s="63">
        <f>Cat_UnitEcon!$B$62</f>
        <v>0.09533532822794158</v>
      </c>
      <c r="E8" s="16" t="str">
        <f>IF(D8&gt;=B8,"GO",IF(D8&gt;=C8,"CONDITIONAL","NO-GO"))</f>
        <v>NO-GO</v>
      </c>
      <c r="F8" s="45">
        <f>Inputs!$G$164</f>
        <v>0.35</v>
      </c>
      <c r="G8" s="45">
        <f>Inputs!$G$165</f>
        <v>0.25</v>
      </c>
      <c r="H8" s="63">
        <f>Espresso_UnitEcon!$B$62</f>
        <v>0.2501396501065022</v>
      </c>
      <c r="I8" s="16" t="str">
        <f>IF(H8&gt;=F8,"GO",IF(H8&gt;=G8,"CONDITIONAL","NO-GO"))</f>
        <v>CONDITIONAL</v>
      </c>
      <c r="J8" s="62" t="inlineStr">
        <is>
          <t>First-order (cohort mix) contribution before ads / net revenue.</t>
        </is>
      </c>
    </row>
    <row r="9" ht="44" customHeight="1">
      <c r="A9" s="60" t="inlineStr">
        <is>
          <t>5. First-order contribution after CAC (per new customer)</t>
        </is>
      </c>
      <c r="B9" s="39">
        <f>Inputs!$G$166</f>
        <v>0.0</v>
      </c>
      <c r="C9" s="39">
        <f>Inputs!$G$167</f>
        <v>-10.0</v>
      </c>
      <c r="D9" s="61">
        <f>Cat_Cohort!$B$43</f>
        <v>-40.00080367499999</v>
      </c>
      <c r="E9" s="16" t="str">
        <f>IF(D9&gt;=B9,"GO",IF(D9&gt;=C9,"CONDITIONAL","NO-GO"))</f>
        <v>NO-GO</v>
      </c>
      <c r="F9" s="39">
        <f>Inputs!$G$166</f>
        <v>0.0</v>
      </c>
      <c r="G9" s="39">
        <f>Inputs!$G$167</f>
        <v>-10.0</v>
      </c>
      <c r="H9" s="61">
        <f>Espresso_Cohort!$B$43</f>
        <v>-23.8918747</v>
      </c>
      <c r="I9" s="16" t="str">
        <f>IF(H9&gt;=F9,"GO",IF(H9&gt;=G9,"CONDITIONAL","NO-GO"))</f>
        <v>NO-GO</v>
      </c>
      <c r="J9" s="62" t="inlineStr">
        <is>
          <t>Shown separately so subscription revenue never hides an unprofitable first order.</t>
        </is>
      </c>
    </row>
    <row r="10" ht="44" customHeight="1">
      <c r="A10" s="60" t="inlineStr">
        <is>
          <t>6. Maximum contribution payback (months; 99 = none in 24)</t>
        </is>
      </c>
      <c r="B10" s="12">
        <f>Inputs!$G$160</f>
        <v>9.0</v>
      </c>
      <c r="C10" s="12">
        <f>Inputs!$G$161</f>
        <v>12.0</v>
      </c>
      <c r="D10" s="7">
        <f>Cat_Cohort!$B$45</f>
        <v>99.0</v>
      </c>
      <c r="E10" s="16" t="str">
        <f>IF(D10&lt;=B10,"GO",IF(D10&lt;=C10,"CONDITIONAL","NO-GO"))</f>
        <v>NO-GO</v>
      </c>
      <c r="F10" s="12">
        <f>Inputs!$G$160</f>
        <v>9.0</v>
      </c>
      <c r="G10" s="12">
        <f>Inputs!$G$161</f>
        <v>12.0</v>
      </c>
      <c r="H10" s="7">
        <f>Espresso_Cohort!$B$45</f>
        <v>99.0</v>
      </c>
      <c r="I10" s="16" t="str">
        <f>IF(H10&lt;=F10,"GO",IF(H10&lt;=G10,"CONDITIONAL","NO-GO"))</f>
        <v>NO-GO</v>
      </c>
      <c r="J10" s="62" t="inlineStr">
        <is>
          <t>First month the cohort's cumulative contribution after CAC turns non-negative.</t>
        </is>
      </c>
    </row>
    <row r="11" ht="44" customHeight="1">
      <c r="A11" s="60" t="inlineStr">
        <is>
          <t>7. Minimum 12-month contribution LTV:CAC</t>
        </is>
      </c>
      <c r="B11" s="38">
        <f>Inputs!$G$162</f>
        <v>1.5</v>
      </c>
      <c r="C11" s="38">
        <f>Inputs!$G$163</f>
        <v>1.2</v>
      </c>
      <c r="D11" s="64">
        <f>Cat_Cohort!$B$51</f>
        <v>0.07042857745996979</v>
      </c>
      <c r="E11" s="16" t="str">
        <f>IF(D11&gt;=B11,"GO",IF(D11&gt;=C11,"CONDITIONAL","NO-GO"))</f>
        <v>NO-GO</v>
      </c>
      <c r="F11" s="38">
        <f>Inputs!$G$162</f>
        <v>1.5</v>
      </c>
      <c r="G11" s="38">
        <f>Inputs!$G$163</f>
        <v>1.2</v>
      </c>
      <c r="H11" s="64">
        <f>Espresso_Cohort!$B$51</f>
        <v>0.6034485126963934</v>
      </c>
      <c r="I11" s="16" t="str">
        <f>IF(H11&gt;=F11,"GO",IF(H11&gt;=G11,"CONDITIONAL","NO-GO"))</f>
        <v>NO-GO</v>
      </c>
      <c r="J11" s="62" t="inlineStr">
        <is>
          <t>12-month contribution per customer (incl. first order) / paid CAC.</t>
        </is>
      </c>
    </row>
    <row r="12" ht="44" customHeight="1">
      <c r="A12" s="60" t="inlineStr">
        <is>
          <t>8. Minimum contribution per subscription renewal order</t>
        </is>
      </c>
      <c r="B12" s="39">
        <f>Inputs!$G$168</f>
        <v>3.0</v>
      </c>
      <c r="C12" s="39">
        <f>Inputs!$G$169</f>
        <v>0.0</v>
      </c>
      <c r="D12" s="61">
        <f>Cat_UnitEcon!$E$50</f>
        <v>-3.419322000000001</v>
      </c>
      <c r="E12" s="16" t="str">
        <f>IF(D12&gt;=B12,"GO",IF(D12&gt;=C12,"CONDITIONAL","NO-GO"))</f>
        <v>NO-GO</v>
      </c>
      <c r="F12" s="39">
        <f>Inputs!$G$168</f>
        <v>3.0</v>
      </c>
      <c r="G12" s="39">
        <f>Inputs!$G$169</f>
        <v>0.0</v>
      </c>
      <c r="H12" s="61">
        <f>Espresso_UnitEcon!$E$50</f>
        <v>4.384378000000002</v>
      </c>
      <c r="I12" s="16" t="str">
        <f>IF(H12&gt;=F12,"GO",IF(H12&gt;=G12,"CONDITIONAL","NO-GO"))</f>
        <v>GO</v>
      </c>
      <c r="J12" s="62" t="inlineStr">
        <is>
          <t>Order (d). A renewal that loses money makes every retained subscriber a cost.</t>
        </is>
      </c>
    </row>
    <row r="13" ht="44" customHeight="1">
      <c r="A13" s="60" t="inlineStr">
        <is>
          <t>9. Minimum subscription price per shipment (filter 6-pack / bean shipment)</t>
        </is>
      </c>
      <c r="B13" s="26">
        <f>(Inputs!$G$168+(-(Cat_UnitEcon!$E$40+Cat_UnitEcon!$E$41+Cat_UnitEcon!$E$42+Cat_UnitEcon!$E$46)+Inputs!$G$101+Inputs!$G$108*Inputs!$G$109))/(1-Inputs!$G$104-Inputs!$G$100-Inputs!$G$108)</f>
        <v>21.99175365344468</v>
      </c>
      <c r="C13" s="26">
        <f>(Inputs!$G$169+(-(Cat_UnitEcon!$E$40+Cat_UnitEcon!$E$41+Cat_UnitEcon!$E$42+Cat_UnitEcon!$E$46)+Inputs!$G$101+Inputs!$G$108*Inputs!$G$109))/(1-Inputs!$G$104-Inputs!$G$100-Inputs!$G$108)</f>
        <v>18.86022964509395</v>
      </c>
      <c r="D13" s="61">
        <f>Inputs!$G$14</f>
        <v>15.290999999999999</v>
      </c>
      <c r="E13" s="16" t="str">
        <f>IF(D13&gt;=B13,"GO",IF(D13&gt;=C13,"CONDITIONAL","NO-GO"))</f>
        <v>NO-GO</v>
      </c>
      <c r="F13" s="26">
        <f>(Inputs!$G$168+(-(Espresso_UnitEcon!$E$39+Espresso_UnitEcon!$E$40)+Inputs!$G$101+Inputs!$G$108*Inputs!$G$109))/(1-Inputs!$G$107-Inputs!$G$100-Inputs!$G$108)</f>
        <v>34.545929018789145</v>
      </c>
      <c r="G13" s="26">
        <f>(Inputs!$G$169+(-(Espresso_UnitEcon!$E$39+Espresso_UnitEcon!$E$40)+Inputs!$G$101+Inputs!$G$108*Inputs!$G$109))/(1-Inputs!$G$107-Inputs!$G$100-Inputs!$G$108)</f>
        <v>31.41440501043842</v>
      </c>
      <c r="H13" s="61">
        <f>Inputs!$G$22</f>
        <v>35.991</v>
      </c>
      <c r="I13" s="16" t="str">
        <f>IF(H13&gt;=F13,"GO",IF(H13&gt;=G13,"CONDITIONAL","NO-GO"))</f>
        <v>GO</v>
      </c>
      <c r="J13" s="62" t="inlineStr">
        <is>
          <t>Price at which the renewal order earns the gate-8 contribution, given selected product, pick/pack, postage, payment, refund and chargeback costs. Compare with Petlibro's ~$2.62/filter ($15.72 per 6) anchor.</t>
        </is>
      </c>
    </row>
    <row r="14" ht="44" customHeight="1">
      <c r="A14" s="60" t="inlineStr">
        <is>
          <t>10. Minimum subscription attach for 12-mo LTV:CAC &gt;= GO threshold</t>
        </is>
      </c>
      <c r="B14" s="34" t="str">
        <f>IF((Cat_Cohort!$B$22+Cat_Cohort!$B$55-Cat_Cohort!$B$23-Cat_Cohort!$B$8*Cat_Cohort!$B$56)&lt;=0,"Not achievable: a subscriber adds no more 12-mo contribution than a non-subscriber",MAX(0,(Inputs!$G$162*Cat_Cohort!$B$13-Cat_Cohort!$B$23-Cat_Cohort!$B$8*Cat_Cohort!$B$56)/(Cat_Cohort!$B$22+Cat_Cohort!$B$55-Cat_Cohort!$B$23-Cat_Cohort!$B$8*Cat_Cohort!$B$56)))</f>
        <v>Not achievable: a subscriber adds no more 12-mo contribution than a non-subscriber</v>
      </c>
      <c r="C14" s="34" t="str">
        <f>IF((Cat_Cohort!$B$22+Cat_Cohort!$B$55-Cat_Cohort!$B$23-Cat_Cohort!$B$8*Cat_Cohort!$B$56)&lt;=0,"Not achievable: a subscriber adds no more 12-mo contribution than a non-subscriber",MAX(0,(Inputs!$G$162*Cat_Cohort!$B$13-Cat_Cohort!$B$23-Cat_Cohort!$B$8*Cat_Cohort!$B$56)/(Cat_Cohort!$B$22+Cat_Cohort!$B$55-Cat_Cohort!$B$23-Cat_Cohort!$B$8*Cat_Cohort!$B$56)))</f>
        <v>Not achievable: a subscriber adds no more 12-mo contribution than a non-subscriber</v>
      </c>
      <c r="D14" s="63">
        <f>Cat_Cohort!$B$7</f>
        <v>0.2</v>
      </c>
      <c r="E14" s="16" t="str">
        <f>IF(ISNUMBER(B14),IF(B14&gt;1,"NO-GO (needs &gt;100% attach)",IF(D14&gt;=B14,"GO","NO-GO")),"NO-GO")</f>
        <v>NO-GO</v>
      </c>
      <c r="F14" s="34">
        <f>IF((Espresso_Cohort!$B$22+Espresso_Cohort!$B$55-Espresso_Cohort!$B$23-Espresso_Cohort!$B$8*Espresso_Cohort!$B$56)&lt;=0,"Not achievable: a subscriber adds no more 12-mo contribution than a non-subscriber",MAX(0,(Inputs!$G$162*Espresso_Cohort!$B$13-Espresso_Cohort!$B$23-Espresso_Cohort!$B$8*Espresso_Cohort!$B$56)/(Espresso_Cohort!$B$22+Espresso_Cohort!$B$55-Espresso_Cohort!$B$23-Espresso_Cohort!$B$8*Espresso_Cohort!$B$56)))</f>
        <v>1.5211888868975025</v>
      </c>
      <c r="G14" s="34">
        <f>IF((Espresso_Cohort!$B$22+Espresso_Cohort!$B$55-Espresso_Cohort!$B$23-Espresso_Cohort!$B$8*Espresso_Cohort!$B$56)&lt;=0,"Not achievable: a subscriber adds no more 12-mo contribution than a non-subscriber",MAX(0,(Inputs!$G$162*Espresso_Cohort!$B$13-Espresso_Cohort!$B$23-Espresso_Cohort!$B$8*Espresso_Cohort!$B$56)/(Espresso_Cohort!$B$22+Espresso_Cohort!$B$55-Espresso_Cohort!$B$23-Espresso_Cohort!$B$8*Espresso_Cohort!$B$56)))</f>
        <v>1.5211888868975025</v>
      </c>
      <c r="H14" s="63">
        <f>Espresso_Cohort!$B$7</f>
        <v>0.15</v>
      </c>
      <c r="I14" s="16" t="str">
        <f>IF(ISNUMBER(F14),IF(F14&gt;1,"NO-GO (needs &gt;100% attach)",IF(H14&gt;=F14,"GO","NO-GO")),"NO-GO")</f>
        <v>NO-GO (needs &gt;100% attach)</v>
      </c>
      <c r="J14" s="62" t="inlineStr">
        <is>
          <t>Solves LTV12(attach) = threshold x CAC, where LTV12 = attach x (first order + 12-mo renewals per subscriber) + (1 - attach) x (first order + repeat rate x 12-mo repeat contribution). Values above 100% mean attach alone cannot fix the economics.</t>
        </is>
      </c>
    </row>
    <row r="15" ht="44" customHeight="1">
      <c r="A15" s="60" t="inlineStr">
        <is>
          <t>11. Minimum subscription attach to justify US filter inventory (cat only)</t>
        </is>
      </c>
      <c r="B15" s="34" t="str">
        <f>IF(Cat_Cohort!$B$55&lt;=0,"Not achievable: renewal contribution &lt;= 0",(Inputs!$G$178*Inputs!$G$56*(1+Inputs!$G$57)+Inputs!$G$178/Inputs!$G$15*(Inputs!$G$58+Inputs!$G$59)+12*Inputs!$G$94)/((INDEX(Launch_Budget!$C$34:$E$34,1,Inputs!$D$5)*12)*Cat_Cohort!$B$55))</f>
        <v>Not achievable: renewal contribution &lt;= 0</v>
      </c>
      <c r="C15" s="34" t="str">
        <f>IF(Cat_Cohort!$B$55&lt;=0,"Not achievable: renewal contribution &lt;= 0",(Inputs!$G$178*Inputs!$G$56*(1+Inputs!$G$57)+Inputs!$G$178/Inputs!$G$15*(Inputs!$G$58+Inputs!$G$59)+12*Inputs!$G$94)/((INDEX(Launch_Budget!$C$34:$E$34,1,Inputs!$D$5)*12)*Cat_Cohort!$B$55))</f>
        <v>Not achievable: renewal contribution &lt;= 0</v>
      </c>
      <c r="D15" s="63">
        <f>Cat_Cohort!$B$7</f>
        <v>0.2</v>
      </c>
      <c r="E15" s="16" t="str">
        <f>IF(ISNUMBER(B15),IF(B15&gt;1,"NO-GO (needs &gt;100% attach)",IF(D15&gt;=B15,"GO","NO-GO")),"NO-GO")</f>
        <v>NO-GO</v>
      </c>
      <c r="F15" s="14" t="inlineStr">
        <is>
          <t>n/a</t>
        </is>
      </c>
      <c r="G15" s="14" t="inlineStr">
        <is>
          <t>n/a</t>
        </is>
      </c>
      <c r="H15" s="14" t="inlineStr">
        <is>
          <t>n/a</t>
        </is>
      </c>
      <c r="I15" s="14" t="inlineStr">
        <is>
          <t>n/a</t>
        </is>
      </c>
      <c r="J15" s="62" t="inlineStr">
        <is>
          <t>Attach at which 12 months of subscriber renewal contribution (planned new customers x attach x 12-mo renewal contribution per subscriber) repays the US filter buy (FOB + duty + freight + pouches) plus one pallet of storage for 12 months. Tier from Inputs!D5.</t>
        </is>
      </c>
    </row>
    <row r="16" ht="44" customHeight="1">
      <c r="A16" s="60" t="inlineStr">
        <is>
          <t>12. Cash needed before first private-label sale vs cash available (selected tier)</t>
        </is>
      </c>
      <c r="B16" s="33">
        <f>INDEX(Launch_Budget!$C$47:$E$47,1,Inputs!$D$5)</f>
        <v>15000.0</v>
      </c>
      <c r="C16" s="33">
        <f>INDEX(Launch_Budget!$C$47:$E$47,1,Inputs!$D$5)</f>
        <v>15000.0</v>
      </c>
      <c r="D16" s="30">
        <f>INDEX(Launch_Budget!$C$46:$E$46,1,Inputs!$D$5)</f>
        <v>28830.492625</v>
      </c>
      <c r="E16" s="16" t="str">
        <f>IF(D16&lt;=B16,"GO","NO-GO")</f>
        <v>NO-GO</v>
      </c>
      <c r="F16" s="14" t="inlineStr">
        <is>
          <t>n/a</t>
        </is>
      </c>
      <c r="G16" s="14" t="inlineStr">
        <is>
          <t>n/a</t>
        </is>
      </c>
      <c r="H16" s="14" t="inlineStr">
        <is>
          <t>n/a</t>
        </is>
      </c>
      <c r="I16" s="14" t="inlineStr">
        <is>
          <t>n/a</t>
        </is>
      </c>
      <c r="J16" s="62" t="inlineStr">
        <is>
          <t>Cat launch budget (Launch_Budget). GO if cash need &lt;= cash available.</t>
        </is>
      </c>
    </row>
    <row r="17" ht="44" customHeight="1">
      <c r="A17" s="60" t="inlineStr">
        <is>
          <t>13. CPA at which 12-month contribution LTV = CAC (information)</t>
        </is>
      </c>
      <c r="B17" s="39">
        <f>Cat_Cohort!$B$47</f>
        <v>3.1692859856986404</v>
      </c>
      <c r="C17" s="39">
        <f>Cat_Cohort!$B$47</f>
        <v>3.1692859856986404</v>
      </c>
      <c r="D17" s="61">
        <f>Inputs!$G$112</f>
        <v>45.0</v>
      </c>
      <c r="E17" s="16" t="str">
        <f>IF(D17&lt;=B17,"GO",IF(D17&lt;=C17,"CONDITIONAL","NO-GO"))</f>
        <v>NO-GO</v>
      </c>
      <c r="F17" s="39">
        <f>Espresso_Cohort!$B$47</f>
        <v>27.155183071337706</v>
      </c>
      <c r="G17" s="39">
        <f>Espresso_Cohort!$B$47</f>
        <v>27.155183071337706</v>
      </c>
      <c r="H17" s="61">
        <f>Inputs!$G$114</f>
        <v>45.0</v>
      </c>
      <c r="I17" s="16" t="str">
        <f>IF(H17&lt;=F17,"GO",IF(H17&lt;=G17,"CONDITIONAL","NO-GO"))</f>
        <v>NO-GO</v>
      </c>
      <c r="J17" s="62" t="inlineStr">
        <is>
          <t>12-month contribution per customer before CAC = maximum CPA for a 12-month break-even cohort.</t>
        </is>
      </c>
    </row>
    <row r="18" ht="44" customHeight="1">
      <c r="A18" s="60" t="inlineStr">
        <is>
          <t>14. Hero price needed for first-order contribution after CAC &gt;= gate-5 threshold (private label, hero only)</t>
        </is>
      </c>
      <c r="B18" s="26">
        <f>(Inputs!$G$166+Inputs!$G$112+(-(Cat_UnitEcon!$C$38+Cat_UnitEcon!$C$41+Cat_UnitEcon!$C$42+Cat_UnitEcon!$C$44+Cat_UnitEcon!$C$46)+Inputs!$G$101+Inputs!$G$108*Inputs!$G$109))/(1-Inputs!$G$102-Inputs!$G$100-Inputs!$G$122*Inputs!$G$123-Inputs!$G$108)</f>
        <v>97.20637092959296</v>
      </c>
      <c r="C18" s="26">
        <f>(Inputs!$G$167+Inputs!$G$112+(-(Cat_UnitEcon!$C$38+Cat_UnitEcon!$C$41+Cat_UnitEcon!$C$42+Cat_UnitEcon!$C$44+Cat_UnitEcon!$C$46)+Inputs!$G$101+Inputs!$G$108*Inputs!$G$109))/(1-Inputs!$G$102-Inputs!$G$100-Inputs!$G$122*Inputs!$G$123-Inputs!$G$108)</f>
        <v>86.20527081958195</v>
      </c>
      <c r="D18" s="61">
        <f>Inputs!$G$11</f>
        <v>49.99</v>
      </c>
      <c r="E18" s="16" t="str">
        <f>IF(D18&gt;=B18,"GO",IF(D18&gt;=C18,"CONDITIONAL","NO-GO"))</f>
        <v>NO-GO</v>
      </c>
      <c r="F18" s="26">
        <f>(Inputs!$G$166+Inputs!$G$114+(-(Espresso_UnitEcon!$C$38+Espresso_UnitEcon!$C$41+Espresso_UnitEcon!$C$42+Espresso_UnitEcon!$C$44+Espresso_UnitEcon!$C$46)+Inputs!$G$101+Inputs!$G$108*Inputs!$G$109))/(1-Inputs!$G$105-Inputs!$G$100-Inputs!$G$122*Inputs!$G$124-Inputs!$G$108)</f>
        <v>112.5335980941704</v>
      </c>
      <c r="G18" s="26">
        <f>(Inputs!$G$167+Inputs!$G$114+(-(Espresso_UnitEcon!$C$38+Espresso_UnitEcon!$C$41+Espresso_UnitEcon!$C$42+Espresso_UnitEcon!$C$44+Espresso_UnitEcon!$C$46)+Inputs!$G$101+Inputs!$G$108*Inputs!$G$109))/(1-Inputs!$G$105-Inputs!$G$100-Inputs!$G$122*Inputs!$G$124-Inputs!$G$108)</f>
        <v>101.32283576233183</v>
      </c>
      <c r="H18" s="61">
        <f>Inputs!$G$18</f>
        <v>84.99</v>
      </c>
      <c r="I18" s="16" t="str">
        <f>IF(H18&gt;=F18,"GO",IF(H18&gt;=G18,"CONDITIONAL","NO-GO"))</f>
        <v>NO-GO</v>
      </c>
      <c r="J18" s="62" t="inlineStr">
        <is>
          <t>Solves order (b) for price: (threshold + CPA m4-12 + landed cost + fulfillment + postage + expected warranty/returns + fixed fees) / (1 - refund % - payment % - affiliate % - chargeback %). Holds cost inputs at the selected scenario.</t>
        </is>
      </c>
    </row>
    <row r="20">
      <c r="A20" s="52" t="inlineStr">
        <is>
          <t>OVERALL - cat (base case)</t>
        </is>
      </c>
      <c r="D20" s="52" t="str">
        <f>IF(SUMPRODUCT(--(LEFT(E5:E18,5)="NO-GO"))&gt;0,"NO-GO on current inputs",IF(COUNTIF(E5:E18,"CONDITIONAL")&gt;0,"CONDITIONAL GO","GO"))</f>
        <v>NO-GO on current inputs</v>
      </c>
      <c r="E20" s="16" t="str">
        <f>SUMPRODUCT(--(LEFT(E5:E18,5)="NO-GO"))&amp;" NO-GO / "&amp;COUNTIF(E5:E18,"CONDITIONAL")&amp;" conditional"</f>
        <v>13 NO-GO / 0 conditional</v>
      </c>
    </row>
    <row r="21">
      <c r="A21" s="52" t="inlineStr">
        <is>
          <t>OVERALL - espresso (shadow case)</t>
        </is>
      </c>
      <c r="H21" s="52" t="str">
        <f>IF(SUMPRODUCT(--(LEFT(I5:I18,5)="NO-GO"))&gt;0,"NO-GO on current inputs",IF(COUNTIF(I5:I18,"CONDITIONAL")&gt;0,"CONDITIONAL GO","GO"))</f>
        <v>NO-GO on current inputs</v>
      </c>
      <c r="I21" s="16" t="str">
        <f>SUMPRODUCT(--(LEFT(I5:I18,5)="NO-GO"))&amp;" NO-GO / "&amp;COUNTIF(I5:I18,"CONDITIONAL")&amp;" conditional"</f>
        <v>8 NO-GO / 1 conditional</v>
      </c>
    </row>
    <row r="23">
      <c r="A23" s="2" t="inlineStr">
        <is>
          <t>Gate 3 is informational (the AliExpress test is a creative test, not a profit test). The MOQ commitment (client default: 500-1,000 units only after a creative win and passed samples) should require gates 1, 4, 5 (at least CONDITIONAL), 8 and 12.</t>
        </is>
      </c>
    </row>
  </sheetData>
  <conditionalFormatting sqref="E5:E18">
    <cfRule type="cellIs" priority="1" operator="equal" dxfId="1">
      <formula>"GO"</formula>
    </cfRule>
    <cfRule type="cellIs" priority="2" operator="equal" dxfId="2">
      <formula>"CONDITIONAL"</formula>
    </cfRule>
    <cfRule type="cellIs" priority="3" operator="equal" dxfId="0">
      <formula>"NO-GO"</formula>
    </cfRule>
  </conditionalFormatting>
  <conditionalFormatting sqref="I5:I18">
    <cfRule type="cellIs" priority="4" operator="equal" dxfId="1">
      <formula>"GO"</formula>
    </cfRule>
    <cfRule type="cellIs" priority="5" operator="equal" dxfId="2">
      <formula>"CONDITIONAL"</formula>
    </cfRule>
    <cfRule type="cellIs" priority="6" operator="equal" dxfId="0">
      <formula>"NO-GO"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10"/>
  <sheetViews>
    <sheetView showGridLines="1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5" t="inlineStr">
        <is>
          <t>Repositioned: can a realistic repositioning of the cat offer pass the gates? (Base-scenario costs, private-label stage)</t>
        </is>
      </c>
    </row>
    <row r="2">
      <c r="A2" s="2" t="inlineStr">
        <is>
          <t>All variants read Inputs column E (Base) plus section P (repositioning ASSUMPTIONS). CPA months 4-12 = $45 for cat ($29.25 after the R3 cut); espresso $45. Independent of the scenario and stage selectors; launch-cash gate uses the tier in Inputs!D5.</t>
        </is>
      </c>
    </row>
    <row r="3">
      <c r="A3" s="2" t="inlineStr">
        <is>
          <t>Columns C-H are cat variants, I-J espresso. Each variant has its own 24-month cohort (rows from 330). R6 is an extra combination added to answer 'what is the cheapest combination that works'.</t>
        </is>
      </c>
    </row>
    <row r="5" ht="44" customHeight="1">
      <c r="A5" s="18" t="inlineStr">
        <is>
          <t>Variant</t>
        </is>
      </c>
      <c r="B5" s="18" t="inlineStr">
        <is>
          <t>Basis / note</t>
        </is>
      </c>
      <c r="C5" s="58" t="inlineStr">
        <is>
          <t>R0 Cat base (reference)</t>
        </is>
      </c>
      <c r="D5" s="58" t="inlineStr">
        <is>
          <t>R1 $79 easy-clean system</t>
        </is>
      </c>
      <c r="E5" s="58" t="inlineStr">
        <is>
          <t>R2 = R1 + 6-month 12-filter subscription</t>
        </is>
      </c>
      <c r="F5" s="58" t="inlineStr">
        <is>
          <t>R3 = R2 + affiliate/organic CPA cut</t>
        </is>
      </c>
      <c r="G5" s="58" t="inlineStr">
        <is>
          <t>R4 = R2 + non-China OEM</t>
        </is>
      </c>
      <c r="H5" s="58" t="inlineStr">
        <is>
          <t>R6 = R2 + R3 + R4 (all cat levers combined)</t>
        </is>
      </c>
      <c r="I5" s="58" t="inlineStr">
        <is>
          <t>E0 Espresso base (reference)</t>
        </is>
      </c>
      <c r="J5" s="58" t="inlineStr">
        <is>
          <t>R5 Espresso Dedica kit at $99</t>
        </is>
      </c>
    </row>
    <row r="6" ht="66" customHeight="1">
      <c r="C6" s="65" t="inlineStr">
        <is>
          <t>$49.99 fountain, 90-day 6-pack subscription</t>
        </is>
      </c>
      <c r="D6" s="65" t="inlineStr">
        <is>
          <t>Fountain + 12 filters + brush; base 90-day 6-pack subscription from month 7</t>
        </is>
      </c>
      <c r="E6" s="65" t="inlineStr">
        <is>
          <t>12-filter pack $29.99 every 180 days, 1 lb postage</t>
        </is>
      </c>
      <c r="F6" s="65" t="inlineStr">
        <is>
          <t>CAC -35%; 40% of first orders pay 15% affiliate commission</t>
        </is>
      </c>
      <c r="G6" s="65" t="inlineStr">
        <is>
          <t>Fountain FOB +20%, duty 0% (MFN Free, no 301); filters still China</t>
        </is>
      </c>
      <c r="H6" s="65" t="inlineStr">
        <is>
          <t>Extra variant (not requested): tests the full combination</t>
        </is>
      </c>
      <c r="I6" s="65" t="inlineStr">
        <is>
          <t>$84.99 kit, monthly beans</t>
        </is>
      </c>
      <c r="J6" s="65" t="inlineStr">
        <is>
          <t>Kit price $99, beans as base</t>
        </is>
      </c>
    </row>
    <row r="8">
      <c r="A8" s="4" t="inlineStr">
        <is>
          <t>Drivers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3" t="inlineStr">
        <is>
          <t>Hero price (free shipping)</t>
        </is>
      </c>
      <c r="C9" s="39">
        <f>Inputs!$E$11</f>
        <v>49.99</v>
      </c>
      <c r="D9" s="39">
        <f>Inputs!$E$189</f>
        <v>79.0</v>
      </c>
      <c r="E9" s="39">
        <f>Inputs!$E$189</f>
        <v>79.0</v>
      </c>
      <c r="F9" s="39">
        <f>Inputs!$E$189</f>
        <v>79.0</v>
      </c>
      <c r="G9" s="39">
        <f>Inputs!$E$189</f>
        <v>79.0</v>
      </c>
      <c r="H9" s="39">
        <f>Inputs!$E$189</f>
        <v>79.0</v>
      </c>
      <c r="I9" s="39">
        <f>Inputs!$E$18</f>
        <v>84.99</v>
      </c>
      <c r="J9" s="39">
        <f>Inputs!$E$205</f>
        <v>99.0</v>
      </c>
    </row>
    <row r="10">
      <c r="A10" s="3" t="inlineStr">
        <is>
          <t>Hero FOB per unit (cat incl. listed adapter)</t>
        </is>
      </c>
      <c r="B10" s="2" t="inlineStr">
        <is>
          <t>R4/R6 unit cost is an ASSUMPTION</t>
        </is>
      </c>
      <c r="C10" s="26">
        <f>Inputs!$E$36+Inputs!$E$37</f>
        <v>11.77</v>
      </c>
      <c r="D10" s="26">
        <f>Inputs!$E$36+Inputs!$E$37</f>
        <v>11.77</v>
      </c>
      <c r="E10" s="26">
        <f>Inputs!$E$36+Inputs!$E$37</f>
        <v>11.77</v>
      </c>
      <c r="F10" s="26">
        <f>Inputs!$E$36+Inputs!$E$37</f>
        <v>11.77</v>
      </c>
      <c r="G10" s="26">
        <f>Inputs!$E$36*(1+Inputs!$E$203)+Inputs!$E$37</f>
        <v>13.723999999999998</v>
      </c>
      <c r="H10" s="26">
        <f>Inputs!$E$36*(1+Inputs!$E$203)+Inputs!$E$37</f>
        <v>13.723999999999998</v>
      </c>
      <c r="I10" s="39">
        <f>Inputs!$E$65</f>
        <v>19.3</v>
      </c>
      <c r="J10" s="39">
        <f>Inputs!$E$65</f>
        <v>19.3</v>
      </c>
    </row>
    <row r="11">
      <c r="A11" s="3" t="inlineStr">
        <is>
          <t>Hero duty rate</t>
        </is>
      </c>
      <c r="C11" s="45">
        <f>Inputs!$E$39</f>
        <v>0.375</v>
      </c>
      <c r="D11" s="45">
        <f>Inputs!$E$39</f>
        <v>0.375</v>
      </c>
      <c r="E11" s="45">
        <f>Inputs!$E$39</f>
        <v>0.375</v>
      </c>
      <c r="F11" s="45">
        <f>Inputs!$E$39</f>
        <v>0.375</v>
      </c>
      <c r="G11" s="45">
        <f>Inputs!$E$204</f>
        <v>0.0</v>
      </c>
      <c r="H11" s="45">
        <f>Inputs!$E$204</f>
        <v>0.0</v>
      </c>
      <c r="I11" s="45">
        <f>Inputs!$E$66</f>
        <v>0.414</v>
      </c>
      <c r="J11" s="45">
        <f>Inputs!$E$66</f>
        <v>0.414</v>
      </c>
    </row>
    <row r="12">
      <c r="A12" s="3" t="inlineStr">
        <is>
          <t>Units per import entry</t>
        </is>
      </c>
      <c r="C12" s="12">
        <f>Inputs!$E$40</f>
        <v>500.0</v>
      </c>
      <c r="D12" s="12">
        <f>Inputs!$E$40</f>
        <v>500.0</v>
      </c>
      <c r="E12" s="12">
        <f>Inputs!$E$40</f>
        <v>500.0</v>
      </c>
      <c r="F12" s="12">
        <f>Inputs!$E$40</f>
        <v>500.0</v>
      </c>
      <c r="G12" s="12">
        <f>Inputs!$E$40</f>
        <v>500.0</v>
      </c>
      <c r="H12" s="12">
        <f>Inputs!$E$40</f>
        <v>500.0</v>
      </c>
      <c r="I12" s="12">
        <f>Inputs!$E$68</f>
        <v>200.0</v>
      </c>
      <c r="J12" s="12">
        <f>Inputs!$E$68</f>
        <v>200.0</v>
      </c>
    </row>
    <row r="13">
      <c r="A13" s="3" t="inlineStr">
        <is>
          <t>Hero landed cost (FOB + duty + freight + entry fees + packaging + certification amortization)</t>
        </is>
      </c>
      <c r="C13" s="26">
        <f>$C$10*(1+$C$11)+Inputs!$E$38+(Inputs!$E$41+Inputs!$E$42+Inputs!$E$43+MAX(Inputs!$E$45,MIN(Inputs!$E$46,Inputs!$E$44*$C$12*$C$10))+Inputs!$E$47*$C$12*$C$10)/$C$12+Inputs!$E$48+(Inputs!$E$49+Inputs!$E$50+Inputs!$E$51)/Inputs!$E$52</f>
        <v>25.965622500000002</v>
      </c>
      <c r="D13" s="26">
        <f>$D$10*(1+$D$11)+Inputs!$E$38+(Inputs!$E$41+Inputs!$E$42+Inputs!$E$43+MAX(Inputs!$E$45,MIN(Inputs!$E$46,Inputs!$E$44*$D$12*$D$10))+Inputs!$E$47*$D$12*$D$10)/$D$12+Inputs!$E$48+(Inputs!$E$49+Inputs!$E$50+Inputs!$E$51)/Inputs!$E$52</f>
        <v>25.965622500000002</v>
      </c>
      <c r="E13" s="26">
        <f>$E$10*(1+$E$11)+Inputs!$E$38+(Inputs!$E$41+Inputs!$E$42+Inputs!$E$43+MAX(Inputs!$E$45,MIN(Inputs!$E$46,Inputs!$E$44*$E$12*$E$10))+Inputs!$E$47*$E$12*$E$10)/$E$12+Inputs!$E$48+(Inputs!$E$49+Inputs!$E$50+Inputs!$E$51)/Inputs!$E$52</f>
        <v>25.965622500000002</v>
      </c>
      <c r="F13" s="26">
        <f>$F$10*(1+$F$11)+Inputs!$E$38+(Inputs!$E$41+Inputs!$E$42+Inputs!$E$43+MAX(Inputs!$E$45,MIN(Inputs!$E$46,Inputs!$E$44*$F$12*$F$10))+Inputs!$E$47*$F$12*$F$10)/$F$12+Inputs!$E$48+(Inputs!$E$49+Inputs!$E$50+Inputs!$E$51)/Inputs!$E$52</f>
        <v>25.965622500000002</v>
      </c>
      <c r="G13" s="26">
        <f>$G$10*(1+$G$11)+Inputs!$E$38+(Inputs!$E$41+Inputs!$E$42+Inputs!$E$43+MAX(Inputs!$E$45,MIN(Inputs!$E$46,Inputs!$E$44*$G$12*$G$10))+Inputs!$E$47*$G$12*$G$10)/$G$12+Inputs!$E$48+(Inputs!$E$49+Inputs!$E$50+Inputs!$E$51)/Inputs!$E$52</f>
        <v>23.508314999999996</v>
      </c>
      <c r="H13" s="26">
        <f>$H$10*(1+$H$11)+Inputs!$E$38+(Inputs!$E$41+Inputs!$E$42+Inputs!$E$43+MAX(Inputs!$E$45,MIN(Inputs!$E$46,Inputs!$E$44*$H$12*$H$10))+Inputs!$E$47*$H$12*$H$10)/$H$12+Inputs!$E$48+(Inputs!$E$49+Inputs!$E$50+Inputs!$E$51)/Inputs!$E$52</f>
        <v>23.508314999999996</v>
      </c>
      <c r="I13" s="26">
        <f>$I$10*(1+$I$11)+Inputs!$E$67+(Inputs!$E$41+Inputs!$E$42+Inputs!$E$43+MAX(Inputs!$E$45,MIN(Inputs!$E$46,Inputs!$E$44*$I$12*$I$10))+Inputs!$E$47*$I$12*$I$10)/$I$12+Inputs!$E$69+(Inputs!$E$50+Inputs!$E$51)/Inputs!$E$70</f>
        <v>34.657225</v>
      </c>
      <c r="J13" s="26">
        <f>$J$10*(1+$J$11)+Inputs!$E$67+(Inputs!$E$41+Inputs!$E$42+Inputs!$E$43+MAX(Inputs!$E$45,MIN(Inputs!$E$46,Inputs!$E$44*$J$12*$J$10))+Inputs!$E$47*$J$12*$J$10)/$J$12+Inputs!$E$69+(Inputs!$E$50+Inputs!$E$51)/Inputs!$E$70</f>
        <v>34.657225</v>
      </c>
    </row>
    <row r="14">
      <c r="A14" s="3" t="inlineStr">
        <is>
          <t>Included add-ons landed (12 filters + brush)</t>
        </is>
      </c>
      <c r="C14" s="26" t="n">
        <v>0</v>
      </c>
      <c r="D14" s="26">
        <f>Inputs!$E$190*Inputs!$E$56*(1+Inputs!$E$57)+Inputs!$E$190/Inputs!$E$15*Inputs!$E$58+Inputs!$E$192</f>
        <v>11.584999999999999</v>
      </c>
      <c r="E14" s="26">
        <f>Inputs!$E$190*Inputs!$E$56*(1+Inputs!$E$57)+Inputs!$E$190/Inputs!$E$15*Inputs!$E$58+Inputs!$E$192</f>
        <v>11.584999999999999</v>
      </c>
      <c r="F14" s="26">
        <f>Inputs!$E$190*Inputs!$E$56*(1+Inputs!$E$57)+Inputs!$E$190/Inputs!$E$15*Inputs!$E$58+Inputs!$E$192</f>
        <v>11.584999999999999</v>
      </c>
      <c r="G14" s="26">
        <f>Inputs!$E$190*Inputs!$E$56*(1+Inputs!$E$57)+Inputs!$E$190/Inputs!$E$15*Inputs!$E$58+Inputs!$E$192</f>
        <v>11.584999999999999</v>
      </c>
      <c r="H14" s="26">
        <f>Inputs!$E$190*Inputs!$E$56*(1+Inputs!$E$57)+Inputs!$E$190/Inputs!$E$15*Inputs!$E$58+Inputs!$E$192</f>
        <v>11.584999999999999</v>
      </c>
      <c r="I14" s="26" t="n">
        <v>0</v>
      </c>
      <c r="J14" s="26" t="n">
        <v>0</v>
      </c>
    </row>
    <row r="15">
      <c r="A15" s="3" t="inlineStr">
        <is>
          <t>Additional 3PL picks</t>
        </is>
      </c>
      <c r="C15" s="41" t="n">
        <v>0</v>
      </c>
      <c r="D15" s="12">
        <f>Inputs!$E$193</f>
        <v>2.0</v>
      </c>
      <c r="E15" s="12">
        <f>Inputs!$E$193</f>
        <v>2.0</v>
      </c>
      <c r="F15" s="12">
        <f>Inputs!$E$193</f>
        <v>2.0</v>
      </c>
      <c r="G15" s="12">
        <f>Inputs!$E$193</f>
        <v>2.0</v>
      </c>
      <c r="H15" s="12">
        <f>Inputs!$E$193</f>
        <v>2.0</v>
      </c>
      <c r="I15" s="41">
        <f>Inputs!$E$19-1</f>
        <v>3.0</v>
      </c>
      <c r="J15" s="41">
        <f>Inputs!$E$19-1</f>
        <v>3.0</v>
      </c>
    </row>
    <row r="16">
      <c r="A16" s="3" t="inlineStr">
        <is>
          <t>Hero postage</t>
        </is>
      </c>
      <c r="B16" s="2" t="inlineStr">
        <is>
          <t>System ships at the 3 lb rate</t>
        </is>
      </c>
      <c r="C16" s="39">
        <f>Inputs!$E$83</f>
        <v>10.5</v>
      </c>
      <c r="D16" s="39">
        <f>Inputs!$E$84</f>
        <v>12.12</v>
      </c>
      <c r="E16" s="39">
        <f>Inputs!$E$84</f>
        <v>12.12</v>
      </c>
      <c r="F16" s="39">
        <f>Inputs!$E$84</f>
        <v>12.12</v>
      </c>
      <c r="G16" s="39">
        <f>Inputs!$E$84</f>
        <v>12.12</v>
      </c>
      <c r="H16" s="39">
        <f>Inputs!$E$84</f>
        <v>12.12</v>
      </c>
      <c r="I16" s="39">
        <f>Inputs!$E$86</f>
        <v>12.12</v>
      </c>
      <c r="J16" s="39">
        <f>Inputs!$E$86</f>
        <v>12.12</v>
      </c>
    </row>
    <row r="17">
      <c r="A17" s="3" t="inlineStr">
        <is>
          <t>Hero refund rate</t>
        </is>
      </c>
      <c r="C17" s="45">
        <f>Inputs!$E$102</f>
        <v>0.05</v>
      </c>
      <c r="D17" s="45">
        <f>Inputs!$E$102</f>
        <v>0.05</v>
      </c>
      <c r="E17" s="45">
        <f>Inputs!$E$102</f>
        <v>0.05</v>
      </c>
      <c r="F17" s="45">
        <f>Inputs!$E$102</f>
        <v>0.05</v>
      </c>
      <c r="G17" s="45">
        <f>Inputs!$E$102</f>
        <v>0.05</v>
      </c>
      <c r="H17" s="45">
        <f>Inputs!$E$102</f>
        <v>0.05</v>
      </c>
      <c r="I17" s="45">
        <f>Inputs!$E$105</f>
        <v>0.07</v>
      </c>
      <c r="J17" s="45">
        <f>Inputs!$E$105</f>
        <v>0.07</v>
      </c>
    </row>
    <row r="18">
      <c r="A18" s="3" t="inlineStr">
        <is>
          <t>Hero replacement rate</t>
        </is>
      </c>
      <c r="C18" s="45">
        <f>Inputs!$E$103</f>
        <v>0.03</v>
      </c>
      <c r="D18" s="45">
        <f>Inputs!$E$103</f>
        <v>0.03</v>
      </c>
      <c r="E18" s="45">
        <f>Inputs!$E$103</f>
        <v>0.03</v>
      </c>
      <c r="F18" s="45">
        <f>Inputs!$E$103</f>
        <v>0.03</v>
      </c>
      <c r="G18" s="45">
        <f>Inputs!$E$103</f>
        <v>0.03</v>
      </c>
      <c r="H18" s="45">
        <f>Inputs!$E$103</f>
        <v>0.03</v>
      </c>
      <c r="I18" s="45">
        <f>Inputs!$E$106</f>
        <v>0.02</v>
      </c>
      <c r="J18" s="45">
        <f>Inputs!$E$106</f>
        <v>0.02</v>
      </c>
    </row>
    <row r="19">
      <c r="A19" s="3" t="inlineStr">
        <is>
          <t>Affiliate-sourced share of first orders</t>
        </is>
      </c>
      <c r="C19" s="45">
        <f>Inputs!$E$122</f>
        <v>0.06</v>
      </c>
      <c r="D19" s="45">
        <f>Inputs!$E$122</f>
        <v>0.06</v>
      </c>
      <c r="E19" s="45">
        <f>Inputs!$E$122</f>
        <v>0.06</v>
      </c>
      <c r="F19" s="45">
        <f>Inputs!$E$201</f>
        <v>0.4</v>
      </c>
      <c r="G19" s="45">
        <f>Inputs!$E$122</f>
        <v>0.06</v>
      </c>
      <c r="H19" s="45">
        <f>Inputs!$E$201</f>
        <v>0.4</v>
      </c>
      <c r="I19" s="45">
        <f>Inputs!$E$122</f>
        <v>0.06</v>
      </c>
      <c r="J19" s="45">
        <f>Inputs!$E$122</f>
        <v>0.06</v>
      </c>
    </row>
    <row r="20">
      <c r="A20" s="3" t="inlineStr">
        <is>
          <t>Affiliate commission</t>
        </is>
      </c>
      <c r="C20" s="45">
        <f>Inputs!$E$123</f>
        <v>0.15</v>
      </c>
      <c r="D20" s="45">
        <f>Inputs!$E$123</f>
        <v>0.15</v>
      </c>
      <c r="E20" s="45">
        <f>Inputs!$E$123</f>
        <v>0.15</v>
      </c>
      <c r="F20" s="45">
        <f>Inputs!$E$202</f>
        <v>0.15</v>
      </c>
      <c r="G20" s="45">
        <f>Inputs!$E$123</f>
        <v>0.15</v>
      </c>
      <c r="H20" s="45">
        <f>Inputs!$E$202</f>
        <v>0.15</v>
      </c>
      <c r="I20" s="45">
        <f>Inputs!$E$124</f>
        <v>0.1</v>
      </c>
      <c r="J20" s="45">
        <f>Inputs!$E$124</f>
        <v>0.1</v>
      </c>
    </row>
    <row r="21">
      <c r="A21" s="3" t="inlineStr">
        <is>
          <t>Paid CAC per new customer (CPA months 4-12, after any cut)</t>
        </is>
      </c>
      <c r="C21" s="39">
        <f>Inputs!$E$112</f>
        <v>45.0</v>
      </c>
      <c r="D21" s="39">
        <f>Inputs!$E$112</f>
        <v>45.0</v>
      </c>
      <c r="E21" s="39">
        <f>Inputs!$E$112</f>
        <v>45.0</v>
      </c>
      <c r="F21" s="26">
        <f>Inputs!$E$112*(1-Inputs!$E$200)</f>
        <v>29.25</v>
      </c>
      <c r="G21" s="39">
        <f>Inputs!$E$112</f>
        <v>45.0</v>
      </c>
      <c r="H21" s="26">
        <f>Inputs!$E$112*(1-Inputs!$E$200)</f>
        <v>29.25</v>
      </c>
      <c r="I21" s="39">
        <f>Inputs!$E$114</f>
        <v>45.0</v>
      </c>
      <c r="J21" s="39">
        <f>Inputs!$E$114</f>
        <v>45.0</v>
      </c>
    </row>
    <row r="22">
      <c r="A22" s="4" t="inlineStr">
        <is>
          <t>First order: hero product (private label)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16" t="inlineStr">
        <is>
          <t>Gross revenue</t>
        </is>
      </c>
      <c r="C23" s="23">
        <f>$C$9</f>
        <v>49.99</v>
      </c>
      <c r="D23" s="23">
        <f>$D$9</f>
        <v>79.0</v>
      </c>
      <c r="E23" s="23">
        <f>$E$9</f>
        <v>79.0</v>
      </c>
      <c r="F23" s="23">
        <f>$F$9</f>
        <v>79.0</v>
      </c>
      <c r="G23" s="23">
        <f>$G$9</f>
        <v>79.0</v>
      </c>
      <c r="H23" s="23">
        <f>$H$9</f>
        <v>79.0</v>
      </c>
      <c r="I23" s="23">
        <f>$I$9</f>
        <v>84.99</v>
      </c>
      <c r="J23" s="23">
        <f>$J$9</f>
        <v>99.0</v>
      </c>
    </row>
    <row r="24">
      <c r="A24" s="3" t="inlineStr">
        <is>
          <t>Refunds</t>
        </is>
      </c>
      <c r="C24" s="26">
        <f>-$C$17*$C$9</f>
        <v>-2.4995000000000003</v>
      </c>
      <c r="D24" s="26">
        <f>-$D$17*$D$9</f>
        <v>-3.95</v>
      </c>
      <c r="E24" s="26">
        <f>-$E$17*$E$9</f>
        <v>-3.95</v>
      </c>
      <c r="F24" s="26">
        <f>-$F$17*$F$9</f>
        <v>-3.95</v>
      </c>
      <c r="G24" s="26">
        <f>-$G$17*$G$9</f>
        <v>-3.95</v>
      </c>
      <c r="H24" s="26">
        <f>-$H$17*$H$9</f>
        <v>-3.95</v>
      </c>
      <c r="I24" s="26">
        <f>-$I$17*$I$9</f>
        <v>-5.9493</v>
      </c>
      <c r="J24" s="26">
        <f>-$J$17*$J$9</f>
        <v>-6.930000000000001</v>
      </c>
    </row>
    <row r="25">
      <c r="A25" s="16" t="inlineStr">
        <is>
          <t>Net revenue</t>
        </is>
      </c>
      <c r="C25" s="23">
        <f>$C$23+$C$24</f>
        <v>47.490500000000004</v>
      </c>
      <c r="D25" s="23">
        <f>$D$23+$D$24</f>
        <v>75.05</v>
      </c>
      <c r="E25" s="23">
        <f>$E$23+$E$24</f>
        <v>75.05</v>
      </c>
      <c r="F25" s="23">
        <f>$F$23+$F$24</f>
        <v>75.05</v>
      </c>
      <c r="G25" s="23">
        <f>$G$23+$G$24</f>
        <v>75.05</v>
      </c>
      <c r="H25" s="23">
        <f>$H$23+$H$24</f>
        <v>75.05</v>
      </c>
      <c r="I25" s="23">
        <f>$I$23+$I$24</f>
        <v>79.0407</v>
      </c>
      <c r="J25" s="23">
        <f>$J$23+$J$24</f>
        <v>92.07</v>
      </c>
    </row>
    <row r="26">
      <c r="A26" s="3" t="inlineStr">
        <is>
          <t>Hero landed cost</t>
        </is>
      </c>
      <c r="C26" s="26">
        <f>-$C$13</f>
        <v>-25.965622500000002</v>
      </c>
      <c r="D26" s="26">
        <f>-$D$13</f>
        <v>-25.965622500000002</v>
      </c>
      <c r="E26" s="26">
        <f>-$E$13</f>
        <v>-25.965622500000002</v>
      </c>
      <c r="F26" s="26">
        <f>-$F$13</f>
        <v>-25.965622500000002</v>
      </c>
      <c r="G26" s="26">
        <f>-$G$13</f>
        <v>-23.508314999999996</v>
      </c>
      <c r="H26" s="26">
        <f>-$H$13</f>
        <v>-23.508314999999996</v>
      </c>
      <c r="I26" s="26">
        <f>-$I$13</f>
        <v>-34.657225</v>
      </c>
      <c r="J26" s="26">
        <f>-$J$13</f>
        <v>-34.657225</v>
      </c>
    </row>
    <row r="27">
      <c r="A27" s="3" t="inlineStr">
        <is>
          <t>Included filters + brush</t>
        </is>
      </c>
      <c r="C27" s="26">
        <f>-$C$14</f>
        <v>-0.0</v>
      </c>
      <c r="D27" s="26">
        <f>-$D$14</f>
        <v>-11.584999999999999</v>
      </c>
      <c r="E27" s="26">
        <f>-$E$14</f>
        <v>-11.584999999999999</v>
      </c>
      <c r="F27" s="26">
        <f>-$F$14</f>
        <v>-11.584999999999999</v>
      </c>
      <c r="G27" s="26">
        <f>-$G$14</f>
        <v>-11.584999999999999</v>
      </c>
      <c r="H27" s="26">
        <f>-$H$14</f>
        <v>-11.584999999999999</v>
      </c>
      <c r="I27" s="26">
        <f>-$I$14</f>
        <v>-0.0</v>
      </c>
      <c r="J27" s="26">
        <f>-$J$14</f>
        <v>-0.0</v>
      </c>
    </row>
    <row r="28">
      <c r="A28" s="3" t="inlineStr">
        <is>
          <t>3PL pick/pack + carton (incl. uplift)</t>
        </is>
      </c>
      <c r="C28" s="26">
        <f>-(Inputs!$E$88+$C$15*Inputs!$E$89+Inputs!$E$90)*(1+Inputs!$E$92)</f>
        <v>-5.1</v>
      </c>
      <c r="D28" s="26">
        <f>-(Inputs!$E$88+$D$15*Inputs!$E$89+Inputs!$E$90)*(1+Inputs!$E$92)</f>
        <v>-6.3</v>
      </c>
      <c r="E28" s="26">
        <f>-(Inputs!$E$88+$E$15*Inputs!$E$89+Inputs!$E$90)*(1+Inputs!$E$92)</f>
        <v>-6.3</v>
      </c>
      <c r="F28" s="26">
        <f>-(Inputs!$E$88+$F$15*Inputs!$E$89+Inputs!$E$90)*(1+Inputs!$E$92)</f>
        <v>-6.3</v>
      </c>
      <c r="G28" s="26">
        <f>-(Inputs!$E$88+$G$15*Inputs!$E$89+Inputs!$E$90)*(1+Inputs!$E$92)</f>
        <v>-6.3</v>
      </c>
      <c r="H28" s="26">
        <f>-(Inputs!$E$88+$H$15*Inputs!$E$89+Inputs!$E$90)*(1+Inputs!$E$92)</f>
        <v>-6.3</v>
      </c>
      <c r="I28" s="26">
        <f>-(Inputs!$E$88+$I$15*Inputs!$E$89+Inputs!$E$90)*(1+Inputs!$E$92)</f>
        <v>-6.8999999999999995</v>
      </c>
      <c r="J28" s="26">
        <f>-(Inputs!$E$88+$J$15*Inputs!$E$89+Inputs!$E$90)*(1+Inputs!$E$92)</f>
        <v>-6.8999999999999995</v>
      </c>
    </row>
    <row r="29">
      <c r="A29" s="3" t="inlineStr">
        <is>
          <t>Postage</t>
        </is>
      </c>
      <c r="C29" s="26">
        <f>-$C$16</f>
        <v>-10.5</v>
      </c>
      <c r="D29" s="26">
        <f>-$D$16</f>
        <v>-12.12</v>
      </c>
      <c r="E29" s="26">
        <f>-$E$16</f>
        <v>-12.12</v>
      </c>
      <c r="F29" s="26">
        <f>-$F$16</f>
        <v>-12.12</v>
      </c>
      <c r="G29" s="26">
        <f>-$G$16</f>
        <v>-12.12</v>
      </c>
      <c r="H29" s="26">
        <f>-$H$16</f>
        <v>-12.12</v>
      </c>
      <c r="I29" s="26">
        <f>-$I$16</f>
        <v>-12.12</v>
      </c>
      <c r="J29" s="26">
        <f>-$J$16</f>
        <v>-12.12</v>
      </c>
    </row>
    <row r="30">
      <c r="A30" s="3" t="inlineStr">
        <is>
          <t>Payment processing</t>
        </is>
      </c>
      <c r="C30" s="26">
        <f>-(Inputs!$E$100*$C$9+Inputs!$E$101)</f>
        <v>-1.74971</v>
      </c>
      <c r="D30" s="26">
        <f>-(Inputs!$E$100*$D$9+Inputs!$E$101)</f>
        <v>-2.5909999999999997</v>
      </c>
      <c r="E30" s="26">
        <f>-(Inputs!$E$100*$E$9+Inputs!$E$101)</f>
        <v>-2.5909999999999997</v>
      </c>
      <c r="F30" s="26">
        <f>-(Inputs!$E$100*$F$9+Inputs!$E$101)</f>
        <v>-2.5909999999999997</v>
      </c>
      <c r="G30" s="26">
        <f>-(Inputs!$E$100*$G$9+Inputs!$E$101)</f>
        <v>-2.5909999999999997</v>
      </c>
      <c r="H30" s="26">
        <f>-(Inputs!$E$100*$H$9+Inputs!$E$101)</f>
        <v>-2.5909999999999997</v>
      </c>
      <c r="I30" s="26">
        <f>-(Inputs!$E$100*$I$9+Inputs!$E$101)</f>
        <v>-2.76471</v>
      </c>
      <c r="J30" s="26">
        <f>-(Inputs!$E$100*$J$9+Inputs!$E$101)</f>
        <v>-3.171</v>
      </c>
    </row>
    <row r="31">
      <c r="A31" s="3" t="inlineStr">
        <is>
          <t>Warranty replacements (expected)</t>
        </is>
      </c>
      <c r="C31" s="26">
        <f>-$C$18*($C$13+(Inputs!$E$88+Inputs!$E$90)*(1+Inputs!$E$92)+$C$16)</f>
        <v>-1.246968675</v>
      </c>
      <c r="D31" s="26">
        <f>-$D$18*($D$13+(Inputs!$E$88+Inputs!$E$90)*(1+Inputs!$E$92)+$D$16)</f>
        <v>-1.295568675</v>
      </c>
      <c r="E31" s="26">
        <f>-$E$18*($E$13+(Inputs!$E$88+Inputs!$E$90)*(1+Inputs!$E$92)+$E$16)</f>
        <v>-1.295568675</v>
      </c>
      <c r="F31" s="26">
        <f>-$F$18*($F$13+(Inputs!$E$88+Inputs!$E$90)*(1+Inputs!$E$92)+$F$16)</f>
        <v>-1.295568675</v>
      </c>
      <c r="G31" s="26">
        <f>-$G$18*($G$13+(Inputs!$E$88+Inputs!$E$90)*(1+Inputs!$E$92)+$G$16)</f>
        <v>-1.22184945</v>
      </c>
      <c r="H31" s="26">
        <f>-$H$18*($H$13+(Inputs!$E$88+Inputs!$E$90)*(1+Inputs!$E$92)+$H$16)</f>
        <v>-1.22184945</v>
      </c>
      <c r="I31" s="26">
        <f>-$I$18*($I$13-$I$28+$I$16)</f>
        <v>-1.0735445</v>
      </c>
      <c r="J31" s="26">
        <f>-$J$18*($J$13-$J$28+$J$16)</f>
        <v>-1.0735445</v>
      </c>
    </row>
    <row r="32">
      <c r="A32" s="3" t="inlineStr">
        <is>
          <t>Returns processing</t>
        </is>
      </c>
      <c r="C32" s="26">
        <f>-$C$17*Inputs!$E$93</f>
        <v>-0.20299999999999999</v>
      </c>
      <c r="D32" s="26">
        <f>-$D$17*Inputs!$E$93</f>
        <v>-0.20299999999999999</v>
      </c>
      <c r="E32" s="26">
        <f>-$E$17*Inputs!$E$93</f>
        <v>-0.20299999999999999</v>
      </c>
      <c r="F32" s="26">
        <f>-$F$17*Inputs!$E$93</f>
        <v>-0.20299999999999999</v>
      </c>
      <c r="G32" s="26">
        <f>-$G$17*Inputs!$E$93</f>
        <v>-0.20299999999999999</v>
      </c>
      <c r="H32" s="26">
        <f>-$H$17*Inputs!$E$93</f>
        <v>-0.20299999999999999</v>
      </c>
      <c r="I32" s="26">
        <f>-$I$17*Inputs!$E$93</f>
        <v>-0.2842</v>
      </c>
      <c r="J32" s="26">
        <f>-$J$17*Inputs!$E$93</f>
        <v>-0.2842</v>
      </c>
    </row>
    <row r="33">
      <c r="A33" s="3" t="inlineStr">
        <is>
          <t>Chargebacks</t>
        </is>
      </c>
      <c r="C33" s="26">
        <f>-Inputs!$E$108*($C$9+Inputs!$E$109)</f>
        <v>-0.19497000000000003</v>
      </c>
      <c r="D33" s="26">
        <f>-Inputs!$E$108*($D$9+Inputs!$E$109)</f>
        <v>-0.28200000000000003</v>
      </c>
      <c r="E33" s="26">
        <f>-Inputs!$E$108*($E$9+Inputs!$E$109)</f>
        <v>-0.28200000000000003</v>
      </c>
      <c r="F33" s="26">
        <f>-Inputs!$E$108*($F$9+Inputs!$E$109)</f>
        <v>-0.28200000000000003</v>
      </c>
      <c r="G33" s="26">
        <f>-Inputs!$E$108*($G$9+Inputs!$E$109)</f>
        <v>-0.28200000000000003</v>
      </c>
      <c r="H33" s="26">
        <f>-Inputs!$E$108*($H$9+Inputs!$E$109)</f>
        <v>-0.28200000000000003</v>
      </c>
      <c r="I33" s="26">
        <f>-Inputs!$E$108*($I$9+Inputs!$E$109)</f>
        <v>-0.29997</v>
      </c>
      <c r="J33" s="26">
        <f>-Inputs!$E$108*($J$9+Inputs!$E$109)</f>
        <v>-0.342</v>
      </c>
    </row>
    <row r="34">
      <c r="A34" s="3" t="inlineStr">
        <is>
          <t>Affiliate commissions (share x commission x revenue)</t>
        </is>
      </c>
      <c r="C34" s="26">
        <f>-$C$19*$C$20*$C$9</f>
        <v>-0.44991</v>
      </c>
      <c r="D34" s="26">
        <f>-$D$19*$D$20*$D$9</f>
        <v>-0.711</v>
      </c>
      <c r="E34" s="26">
        <f>-$E$19*$E$20*$E$9</f>
        <v>-0.711</v>
      </c>
      <c r="F34" s="26">
        <f>-$F$19*$F$20*$F$9</f>
        <v>-4.74</v>
      </c>
      <c r="G34" s="26">
        <f>-$G$19*$G$20*$G$9</f>
        <v>-0.711</v>
      </c>
      <c r="H34" s="26">
        <f>-$H$19*$H$20*$H$9</f>
        <v>-4.74</v>
      </c>
      <c r="I34" s="26">
        <f>-$I$19*$I$20*$I$9</f>
        <v>-0.50994</v>
      </c>
      <c r="J34" s="26">
        <f>-$J$19*$J$20*$J$9</f>
        <v>-0.594</v>
      </c>
    </row>
    <row r="35">
      <c r="A35" s="16" t="inlineStr">
        <is>
          <t>Hero order contribution before ads</t>
        </is>
      </c>
      <c r="C35" s="23">
        <f>$C$25+SUM(C26:C34)</f>
        <v>2.080318824999999</v>
      </c>
      <c r="D35" s="23">
        <f>$D$25+SUM(D26:D34)</f>
        <v>13.996808824999995</v>
      </c>
      <c r="E35" s="23">
        <f>$E$25+SUM(E26:E34)</f>
        <v>13.996808824999995</v>
      </c>
      <c r="F35" s="23">
        <f>$F$25+SUM(F26:F34)</f>
        <v>9.967808824999992</v>
      </c>
      <c r="G35" s="23">
        <f>$G$25+SUM(G26:G34)</f>
        <v>16.527835550000006</v>
      </c>
      <c r="H35" s="23">
        <f>$H$25+SUM(H26:H34)</f>
        <v>12.498835550000003</v>
      </c>
      <c r="I35" s="23">
        <f>$I$25+SUM(I26:I34)</f>
        <v>20.431110500000003</v>
      </c>
      <c r="J35" s="23">
        <f>$J$25+SUM(J26:J34)</f>
        <v>32.9280305</v>
      </c>
    </row>
    <row r="36">
      <c r="A36" s="3" t="inlineStr">
        <is>
          <t>Add-on attach (cat: litter mat cross-sell; espresso: bean subscription in first order)</t>
        </is>
      </c>
      <c r="C36" s="45">
        <f>Inputs!$E$132</f>
        <v>0.25</v>
      </c>
      <c r="D36" s="45">
        <f>Inputs!$E$132</f>
        <v>0.25</v>
      </c>
      <c r="E36" s="45">
        <f>Inputs!$E$132</f>
        <v>0.25</v>
      </c>
      <c r="F36" s="45">
        <f>Inputs!$E$132</f>
        <v>0.25</v>
      </c>
      <c r="G36" s="45">
        <f>Inputs!$E$132</f>
        <v>0.25</v>
      </c>
      <c r="H36" s="45">
        <f>Inputs!$E$132</f>
        <v>0.25</v>
      </c>
      <c r="I36" s="45">
        <f>Inputs!$E$144</f>
        <v>0.15</v>
      </c>
      <c r="J36" s="45">
        <f>Inputs!$E$144</f>
        <v>0.15</v>
      </c>
    </row>
    <row r="37">
      <c r="A37" s="3" t="inlineStr">
        <is>
          <t>Add-on incremental contribution per attaching order (from Base engine (c) - (b))</t>
        </is>
      </c>
      <c r="C37" s="26">
        <f>Cat_UnitEcon!$P$50-Cat_UnitEcon!$O$50</f>
        <v>11.675510000000003</v>
      </c>
      <c r="D37" s="26">
        <f>Cat_UnitEcon!$P$50-Cat_UnitEcon!$O$50</f>
        <v>11.675510000000003</v>
      </c>
      <c r="E37" s="26">
        <f>Cat_UnitEcon!$P$50-Cat_UnitEcon!$O$50</f>
        <v>11.675510000000003</v>
      </c>
      <c r="F37" s="26">
        <f>Cat_UnitEcon!$P$50-Cat_UnitEcon!$O$50</f>
        <v>11.675510000000003</v>
      </c>
      <c r="G37" s="26">
        <f>Cat_UnitEcon!$P$50-Cat_UnitEcon!$O$50</f>
        <v>11.675510000000003</v>
      </c>
      <c r="H37" s="26">
        <f>Cat_UnitEcon!$P$50-Cat_UnitEcon!$O$50</f>
        <v>11.675510000000003</v>
      </c>
      <c r="I37" s="26">
        <f>Espresso_UnitEcon!$P$50-Espresso_UnitEcon!$O$50</f>
        <v>4.513431999999995</v>
      </c>
      <c r="J37" s="26">
        <f>Espresso_UnitEcon!$P$50-Espresso_UnitEcon!$O$50</f>
        <v>4.513431999999995</v>
      </c>
    </row>
    <row r="38">
      <c r="A38" s="3" t="inlineStr">
        <is>
          <t>Add-on incremental net revenue</t>
        </is>
      </c>
      <c r="C38" s="26">
        <f>Cat_UnitEcon!$P$37-Cat_UnitEcon!$O$37</f>
        <v>19.790100000000002</v>
      </c>
      <c r="D38" s="26">
        <f>Cat_UnitEcon!$P$37-Cat_UnitEcon!$O$37</f>
        <v>19.790100000000002</v>
      </c>
      <c r="E38" s="26">
        <f>Cat_UnitEcon!$P$37-Cat_UnitEcon!$O$37</f>
        <v>19.790100000000002</v>
      </c>
      <c r="F38" s="26">
        <f>Cat_UnitEcon!$P$37-Cat_UnitEcon!$O$37</f>
        <v>19.790100000000002</v>
      </c>
      <c r="G38" s="26">
        <f>Cat_UnitEcon!$P$37-Cat_UnitEcon!$O$37</f>
        <v>19.790100000000002</v>
      </c>
      <c r="H38" s="26">
        <f>Cat_UnitEcon!$P$37-Cat_UnitEcon!$O$37</f>
        <v>19.790100000000002</v>
      </c>
      <c r="I38" s="26">
        <f>Espresso_UnitEcon!$P$37-Espresso_UnitEcon!$O$37</f>
        <v>35.631089999999986</v>
      </c>
      <c r="J38" s="26">
        <f>Espresso_UnitEcon!$P$37-Espresso_UnitEcon!$O$37</f>
        <v>35.631089999999986</v>
      </c>
    </row>
    <row r="39">
      <c r="A39" s="16" t="inlineStr">
        <is>
          <t>FIRST-ORDER contribution before ads (mix)</t>
        </is>
      </c>
      <c r="C39" s="42">
        <f>$C$35+$C$36*$C$37</f>
        <v>4.999196325</v>
      </c>
      <c r="D39" s="42">
        <f>$D$35+$D$36*$D$37</f>
        <v>16.915686324999996</v>
      </c>
      <c r="E39" s="42">
        <f>$E$35+$E$36*$E$37</f>
        <v>16.915686324999996</v>
      </c>
      <c r="F39" s="42">
        <f>$F$35+$F$36*$F$37</f>
        <v>12.886686324999992</v>
      </c>
      <c r="G39" s="42">
        <f>$G$35+$G$36*$G$37</f>
        <v>19.446713050000007</v>
      </c>
      <c r="H39" s="42">
        <f>$H$35+$H$36*$H$37</f>
        <v>15.417713050000003</v>
      </c>
      <c r="I39" s="42">
        <f>$I$35+$I$36*$I$37</f>
        <v>21.1081253</v>
      </c>
      <c r="J39" s="42">
        <f>$J$35+$J$36*$J$37</f>
        <v>33.6050453</v>
      </c>
    </row>
    <row r="40">
      <c r="A40" s="3" t="inlineStr">
        <is>
          <t>First-order net revenue (mix)</t>
        </is>
      </c>
      <c r="C40" s="26">
        <f>$C$25+$C$36*$C$38</f>
        <v>52.438025</v>
      </c>
      <c r="D40" s="26">
        <f>$D$25+$D$36*$D$38</f>
        <v>79.997525</v>
      </c>
      <c r="E40" s="26">
        <f>$E$25+$E$36*$E$38</f>
        <v>79.997525</v>
      </c>
      <c r="F40" s="26">
        <f>$F$25+$F$36*$F$38</f>
        <v>79.997525</v>
      </c>
      <c r="G40" s="26">
        <f>$G$25+$G$36*$G$38</f>
        <v>79.997525</v>
      </c>
      <c r="H40" s="26">
        <f>$H$25+$H$36*$H$38</f>
        <v>79.997525</v>
      </c>
      <c r="I40" s="26">
        <f>$I$25+$I$36*$I$38</f>
        <v>84.3853635</v>
      </c>
      <c r="J40" s="26">
        <f>$J$25+$J$36*$J$38</f>
        <v>97.41466349999999</v>
      </c>
    </row>
    <row r="41">
      <c r="A41" s="3" t="inlineStr">
        <is>
          <t>First-order contribution margin before ads</t>
        </is>
      </c>
      <c r="C41" s="34">
        <f>IFERROR($C$39/$C$40,0)</f>
        <v>0.09533532822794145</v>
      </c>
      <c r="D41" s="34">
        <f>IFERROR($D$39/$D$40,0)</f>
        <v>0.21145262087795838</v>
      </c>
      <c r="E41" s="34">
        <f>IFERROR($E$39/$E$40,0)</f>
        <v>0.21145262087795838</v>
      </c>
      <c r="F41" s="34">
        <f>IFERROR($F$39/$F$40,0)</f>
        <v>0.16108856273990968</v>
      </c>
      <c r="G41" s="34">
        <f>IFERROR($G$39/$G$40,0)</f>
        <v>0.24309143376623224</v>
      </c>
      <c r="H41" s="34">
        <f>IFERROR($H$39/$H$40,0)</f>
        <v>0.19272737562818354</v>
      </c>
      <c r="I41" s="34">
        <f>IFERROR($I$39/$I$40,0)</f>
        <v>0.2501396501065022</v>
      </c>
      <c r="J41" s="34">
        <f>IFERROR($J$39/$J$40,0)</f>
        <v>0.3449690641286258</v>
      </c>
    </row>
    <row r="42">
      <c r="A42" s="16" t="inlineStr">
        <is>
          <t>FIRST-ORDER contribution after CAC</t>
        </is>
      </c>
      <c r="C42" s="42">
        <f>$C$39-$C$21</f>
        <v>-40.000803675</v>
      </c>
      <c r="D42" s="42">
        <f>$D$39-$D$21</f>
        <v>-28.084313675000004</v>
      </c>
      <c r="E42" s="42">
        <f>$E$39-$E$21</f>
        <v>-28.084313675000004</v>
      </c>
      <c r="F42" s="42">
        <f>$F$39-$F$21</f>
        <v>-16.363313675000008</v>
      </c>
      <c r="G42" s="42">
        <f>$G$39-$G$21</f>
        <v>-25.553286949999993</v>
      </c>
      <c r="H42" s="42">
        <f>$H$39-$H$21</f>
        <v>-13.832286949999997</v>
      </c>
      <c r="I42" s="42">
        <f>$I$39-$I$21</f>
        <v>-23.8918747</v>
      </c>
      <c r="J42" s="42">
        <f>$J$39-$J$21</f>
        <v>-11.3949547</v>
      </c>
    </row>
    <row r="43">
      <c r="A43" s="3" t="inlineStr">
        <is>
          <t>First-order contribution - subscriber</t>
        </is>
      </c>
      <c r="C43" s="26">
        <f>$C$39</f>
        <v>4.999196325</v>
      </c>
      <c r="D43" s="26">
        <f>$D$39</f>
        <v>16.915686324999996</v>
      </c>
      <c r="E43" s="26">
        <f>$E$39</f>
        <v>16.915686324999996</v>
      </c>
      <c r="F43" s="26">
        <f>$F$39</f>
        <v>12.886686324999992</v>
      </c>
      <c r="G43" s="26">
        <f>$G$39</f>
        <v>19.446713050000007</v>
      </c>
      <c r="H43" s="26">
        <f>$H$39</f>
        <v>15.417713050000003</v>
      </c>
      <c r="I43" s="26">
        <f>$I$35+$I$37</f>
        <v>24.944542499999997</v>
      </c>
      <c r="J43" s="26">
        <f>$J$35+$J$37</f>
        <v>37.44146249999999</v>
      </c>
    </row>
    <row r="44">
      <c r="A44" s="3" t="inlineStr">
        <is>
          <t>First-order contribution - non-subscriber</t>
        </is>
      </c>
      <c r="C44" s="26">
        <f>$C$39</f>
        <v>4.999196325</v>
      </c>
      <c r="D44" s="26">
        <f>$D$39</f>
        <v>16.915686324999996</v>
      </c>
      <c r="E44" s="26">
        <f>$E$39</f>
        <v>16.915686324999996</v>
      </c>
      <c r="F44" s="26">
        <f>$F$39</f>
        <v>12.886686324999992</v>
      </c>
      <c r="G44" s="26">
        <f>$G$39</f>
        <v>19.446713050000007</v>
      </c>
      <c r="H44" s="26">
        <f>$H$39</f>
        <v>15.417713050000003</v>
      </c>
      <c r="I44" s="26">
        <f>$I$35</f>
        <v>20.431110500000003</v>
      </c>
      <c r="J44" s="26">
        <f>$J$35</f>
        <v>32.9280305</v>
      </c>
    </row>
    <row r="45">
      <c r="A45" s="4" t="inlineStr">
        <is>
          <t>Renewal (subscription) and occasional repeat orders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3" t="inlineStr">
        <is>
          <t>Subscription price per shipment</t>
        </is>
      </c>
      <c r="C46" s="39">
        <f>Inputs!$E$14</f>
        <v>15.290999999999999</v>
      </c>
      <c r="D46" s="39">
        <f>Inputs!$E$14</f>
        <v>15.290999999999999</v>
      </c>
      <c r="E46" s="39">
        <f>Inputs!$E$195</f>
        <v>29.99</v>
      </c>
      <c r="F46" s="39">
        <f>Inputs!$E$195</f>
        <v>29.99</v>
      </c>
      <c r="G46" s="39">
        <f>Inputs!$E$195</f>
        <v>29.99</v>
      </c>
      <c r="H46" s="39">
        <f>Inputs!$E$195</f>
        <v>29.99</v>
      </c>
      <c r="I46" s="39">
        <f>Inputs!$E$22</f>
        <v>35.991</v>
      </c>
      <c r="J46" s="39">
        <f>Inputs!$E$22</f>
        <v>35.991</v>
      </c>
    </row>
    <row r="47">
      <c r="A47" s="3" t="inlineStr">
        <is>
          <t>Units per shipment (filters / bags)</t>
        </is>
      </c>
      <c r="C47" s="12">
        <f>Inputs!$E$15</f>
        <v>6.0</v>
      </c>
      <c r="D47" s="12">
        <f>Inputs!$E$15</f>
        <v>6.0</v>
      </c>
      <c r="E47" s="12">
        <f>Inputs!$E$194</f>
        <v>12.0</v>
      </c>
      <c r="F47" s="12">
        <f>Inputs!$E$194</f>
        <v>12.0</v>
      </c>
      <c r="G47" s="12">
        <f>Inputs!$E$194</f>
        <v>12.0</v>
      </c>
      <c r="H47" s="12">
        <f>Inputs!$E$194</f>
        <v>12.0</v>
      </c>
      <c r="I47" s="12">
        <f>Inputs!$E$23</f>
        <v>2.0</v>
      </c>
      <c r="J47" s="12">
        <f>Inputs!$E$23</f>
        <v>2.0</v>
      </c>
    </row>
    <row r="48">
      <c r="A48" s="3" t="inlineStr">
        <is>
          <t>Product landed cost per shipment</t>
        </is>
      </c>
      <c r="C48" s="26">
        <f>$C$47*Inputs!$E$56*(1+Inputs!$E$57)+$C$47/Inputs!$E$15*Inputs!$E$58+Inputs!$E$59</f>
        <v>5.2425</v>
      </c>
      <c r="D48" s="26">
        <f>$D$47*Inputs!$E$56*(1+Inputs!$E$57)+$D$47/Inputs!$E$15*Inputs!$E$58+Inputs!$E$59</f>
        <v>5.2425</v>
      </c>
      <c r="E48" s="26">
        <f>$E$47*Inputs!$E$56*(1+Inputs!$E$57)+$E$47/Inputs!$E$15*Inputs!$E$58+Inputs!$E$59</f>
        <v>10.284999999999998</v>
      </c>
      <c r="F48" s="26">
        <f>$F$47*Inputs!$E$56*(1+Inputs!$E$57)+$F$47/Inputs!$E$15*Inputs!$E$58+Inputs!$E$59</f>
        <v>10.284999999999998</v>
      </c>
      <c r="G48" s="26">
        <f>$G$47*Inputs!$E$56*(1+Inputs!$E$57)+$G$47/Inputs!$E$15*Inputs!$E$58+Inputs!$E$59</f>
        <v>10.284999999999998</v>
      </c>
      <c r="H48" s="26">
        <f>$H$47*Inputs!$E$56*(1+Inputs!$E$57)+$H$47/Inputs!$E$15*Inputs!$E$58+Inputs!$E$59</f>
        <v>10.284999999999998</v>
      </c>
      <c r="I48" s="39">
        <f>Espresso_UnitEcon!$N$23</f>
        <v>24.0</v>
      </c>
      <c r="J48" s="39">
        <f>Espresso_UnitEcon!$N$23</f>
        <v>24.0</v>
      </c>
    </row>
    <row r="49">
      <c r="A49" s="3" t="inlineStr">
        <is>
          <t>Pick/pack + mailer (incl. uplift)</t>
        </is>
      </c>
      <c r="C49" s="26">
        <f>(Inputs!$E$88+Inputs!$E$91)*(1+Inputs!$E$92)</f>
        <v>4.2</v>
      </c>
      <c r="D49" s="26">
        <f>(Inputs!$E$88+Inputs!$E$91)*(1+Inputs!$E$92)</f>
        <v>4.2</v>
      </c>
      <c r="E49" s="26">
        <f>(Inputs!$E$88+Inputs!$E$91)*(1+Inputs!$E$92)</f>
        <v>4.2</v>
      </c>
      <c r="F49" s="26">
        <f>(Inputs!$E$88+Inputs!$E$91)*(1+Inputs!$E$92)</f>
        <v>4.2</v>
      </c>
      <c r="G49" s="26">
        <f>(Inputs!$E$88+Inputs!$E$91)*(1+Inputs!$E$92)</f>
        <v>4.2</v>
      </c>
      <c r="H49" s="26">
        <f>(Inputs!$E$88+Inputs!$E$91)*(1+Inputs!$E$92)</f>
        <v>4.2</v>
      </c>
      <c r="I49" s="26" t="n">
        <v>0</v>
      </c>
      <c r="J49" s="26" t="n">
        <v>0</v>
      </c>
    </row>
    <row r="50">
      <c r="A50" s="3" t="inlineStr">
        <is>
          <t>Postage / roaster shipping</t>
        </is>
      </c>
      <c r="C50" s="39">
        <f>Inputs!$E$85</f>
        <v>8.24</v>
      </c>
      <c r="D50" s="39">
        <f>Inputs!$E$85</f>
        <v>8.24</v>
      </c>
      <c r="E50" s="39">
        <f>Inputs!$E$199</f>
        <v>9.29</v>
      </c>
      <c r="F50" s="39">
        <f>Inputs!$E$199</f>
        <v>9.29</v>
      </c>
      <c r="G50" s="39">
        <f>Inputs!$E$199</f>
        <v>9.29</v>
      </c>
      <c r="H50" s="39">
        <f>Inputs!$E$199</f>
        <v>9.29</v>
      </c>
      <c r="I50" s="39">
        <f>Espresso_UnitEcon!$N$24</f>
        <v>5.75</v>
      </c>
      <c r="J50" s="39">
        <f>Espresso_UnitEcon!$N$24</f>
        <v>5.75</v>
      </c>
    </row>
    <row r="51">
      <c r="A51" s="3" t="inlineStr">
        <is>
          <t>Refund rate</t>
        </is>
      </c>
      <c r="C51" s="45">
        <f>Inputs!$E$104</f>
        <v>0.01</v>
      </c>
      <c r="D51" s="45">
        <f>Inputs!$E$104</f>
        <v>0.01</v>
      </c>
      <c r="E51" s="45">
        <f>Inputs!$E$104</f>
        <v>0.01</v>
      </c>
      <c r="F51" s="45">
        <f>Inputs!$E$104</f>
        <v>0.01</v>
      </c>
      <c r="G51" s="45">
        <f>Inputs!$E$104</f>
        <v>0.01</v>
      </c>
      <c r="H51" s="45">
        <f>Inputs!$E$104</f>
        <v>0.01</v>
      </c>
      <c r="I51" s="45">
        <f>Inputs!$E$107</f>
        <v>0.01</v>
      </c>
      <c r="J51" s="45">
        <f>Inputs!$E$107</f>
        <v>0.01</v>
      </c>
    </row>
    <row r="52">
      <c r="A52" s="3" t="inlineStr">
        <is>
          <t>Returns-processing rate</t>
        </is>
      </c>
      <c r="C52" s="45">
        <f>Inputs!$E$104</f>
        <v>0.01</v>
      </c>
      <c r="D52" s="45">
        <f>Inputs!$E$104</f>
        <v>0.01</v>
      </c>
      <c r="E52" s="45">
        <f>Inputs!$E$104</f>
        <v>0.01</v>
      </c>
      <c r="F52" s="45">
        <f>Inputs!$E$104</f>
        <v>0.01</v>
      </c>
      <c r="G52" s="45">
        <f>Inputs!$E$104</f>
        <v>0.01</v>
      </c>
      <c r="H52" s="45">
        <f>Inputs!$E$104</f>
        <v>0.01</v>
      </c>
      <c r="I52" s="34" t="n">
        <v>0</v>
      </c>
      <c r="J52" s="34" t="n">
        <v>0</v>
      </c>
    </row>
    <row r="53">
      <c r="A53" s="16" t="inlineStr">
        <is>
          <t>Contribution per subscription renewal</t>
        </is>
      </c>
      <c r="C53" s="42">
        <f>$C$46*(1-$C$51)-$C$48-$C$49-$C$50-(Inputs!$E$100*$C$46+Inputs!$E$101)-$C$52*Inputs!$E$93-Inputs!$E$108*($C$46+Inputs!$E$109)</f>
        <v>-3.419322000000002</v>
      </c>
      <c r="D53" s="42">
        <f>$D$46*(1-$D$51)-$D$48-$D$49-$D$50-(Inputs!$E$100*$D$46+Inputs!$E$101)-$D$52*Inputs!$E$93-Inputs!$E$108*($D$46+Inputs!$E$109)</f>
        <v>-3.419322000000002</v>
      </c>
      <c r="E53" s="42">
        <f>$E$46*(1-$E$51)-$E$48-$E$49-$E$50-(Inputs!$E$100*$E$46+Inputs!$E$101)-$E$52*Inputs!$E$93-Inputs!$E$108*($E$46+Inputs!$E$109)</f>
        <v>4.569819999999998</v>
      </c>
      <c r="F53" s="42">
        <f>$F$46*(1-$F$51)-$F$48-$F$49-$F$50-(Inputs!$E$100*$F$46+Inputs!$E$101)-$F$52*Inputs!$E$93-Inputs!$E$108*($F$46+Inputs!$E$109)</f>
        <v>4.569819999999998</v>
      </c>
      <c r="G53" s="42">
        <f>$G$46*(1-$G$51)-$G$48-$G$49-$G$50-(Inputs!$E$100*$G$46+Inputs!$E$101)-$G$52*Inputs!$E$93-Inputs!$E$108*($G$46+Inputs!$E$109)</f>
        <v>4.569819999999998</v>
      </c>
      <c r="H53" s="42">
        <f>$H$46*(1-$H$51)-$H$48-$H$49-$H$50-(Inputs!$E$100*$H$46+Inputs!$E$101)-$H$52*Inputs!$E$93-Inputs!$E$108*($H$46+Inputs!$E$109)</f>
        <v>4.569819999999998</v>
      </c>
      <c r="I53" s="42">
        <f>$I$46*(1-$I$51)-$I$48-$I$49-$I$50-(Inputs!$E$100*$I$46+Inputs!$E$101)-$I$52*Inputs!$E$93-Inputs!$E$108*($I$46+Inputs!$E$109)</f>
        <v>4.384378</v>
      </c>
      <c r="J53" s="42">
        <f>$J$46*(1-$J$51)-$J$48-$J$49-$J$50-(Inputs!$E$100*$J$46+Inputs!$E$101)-$J$52*Inputs!$E$93-Inputs!$E$108*($J$46+Inputs!$E$109)</f>
        <v>4.384378</v>
      </c>
    </row>
    <row r="54">
      <c r="A54" s="3" t="inlineStr">
        <is>
          <t>One-time repeat order price</t>
        </is>
      </c>
      <c r="C54" s="39">
        <f>Inputs!$E$12</f>
        <v>16.99</v>
      </c>
      <c r="D54" s="39">
        <f>Inputs!$E$12</f>
        <v>16.99</v>
      </c>
      <c r="E54" s="39">
        <f>Inputs!$E$196</f>
        <v>32.99</v>
      </c>
      <c r="F54" s="39">
        <f>Inputs!$E$196</f>
        <v>32.99</v>
      </c>
      <c r="G54" s="39">
        <f>Inputs!$E$196</f>
        <v>32.99</v>
      </c>
      <c r="H54" s="39">
        <f>Inputs!$E$196</f>
        <v>32.99</v>
      </c>
      <c r="I54" s="39">
        <f>Inputs!$E$20</f>
        <v>39.99</v>
      </c>
      <c r="J54" s="39">
        <f>Inputs!$E$20</f>
        <v>39.99</v>
      </c>
    </row>
    <row r="55">
      <c r="A55" s="3" t="inlineStr">
        <is>
          <t>Shipping charged on one-time repeat order</t>
        </is>
      </c>
      <c r="C55" s="39">
        <f>Inputs!$E$16</f>
        <v>0.0</v>
      </c>
      <c r="D55" s="39">
        <f>Inputs!$E$16</f>
        <v>0.0</v>
      </c>
      <c r="E55" s="39">
        <f>Inputs!$E$16</f>
        <v>0.0</v>
      </c>
      <c r="F55" s="39">
        <f>Inputs!$E$16</f>
        <v>0.0</v>
      </c>
      <c r="G55" s="39">
        <f>Inputs!$E$16</f>
        <v>0.0</v>
      </c>
      <c r="H55" s="39">
        <f>Inputs!$E$16</f>
        <v>0.0</v>
      </c>
      <c r="I55" s="26" t="n">
        <v>0</v>
      </c>
      <c r="J55" s="26" t="n">
        <v>0</v>
      </c>
    </row>
    <row r="56">
      <c r="A56" s="3" t="inlineStr">
        <is>
          <t>Contribution per occasional repeat order</t>
        </is>
      </c>
      <c r="C56" s="26">
        <f>$C$54*(1-$C$51)+$C$55-$C$48-$C$49-$C$50-(Inputs!$E$100*($C$54+$C$55)+Inputs!$E$101)-$C$52*Inputs!$E$93-Inputs!$E$108*($C$54+$C$55+Inputs!$E$109)</f>
        <v>-1.79168</v>
      </c>
      <c r="D56" s="26">
        <f>$D$54*(1-$D$51)+$D$55-$D$48-$D$49-$D$50-(Inputs!$E$100*($D$54+$D$55)+Inputs!$E$101)-$D$52*Inputs!$E$93-Inputs!$E$108*($D$54+$D$55+Inputs!$E$109)</f>
        <v>-1.79168</v>
      </c>
      <c r="E56" s="26">
        <f>$E$54*(1-$E$51)+$E$55-$E$48-$E$49-$E$50-(Inputs!$E$100*($E$54+$E$55)+Inputs!$E$101)-$E$52*Inputs!$E$93-Inputs!$E$108*($E$54+$E$55+Inputs!$E$109)</f>
        <v>7.443820000000004</v>
      </c>
      <c r="F56" s="26">
        <f>$F$54*(1-$F$51)+$F$55-$F$48-$F$49-$F$50-(Inputs!$E$100*($F$54+$F$55)+Inputs!$E$101)-$F$52*Inputs!$E$93-Inputs!$E$108*($F$54+$F$55+Inputs!$E$109)</f>
        <v>7.443820000000004</v>
      </c>
      <c r="G56" s="26">
        <f>$G$54*(1-$G$51)+$G$55-$G$48-$G$49-$G$50-(Inputs!$E$100*($G$54+$G$55)+Inputs!$E$101)-$G$52*Inputs!$E$93-Inputs!$E$108*($G$54+$G$55+Inputs!$E$109)</f>
        <v>7.443820000000004</v>
      </c>
      <c r="H56" s="26">
        <f>$H$54*(1-$H$51)+$H$55-$H$48-$H$49-$H$50-(Inputs!$E$100*($H$54+$H$55)+Inputs!$E$101)-$H$52*Inputs!$E$93-Inputs!$E$108*($H$54+$H$55+Inputs!$E$109)</f>
        <v>7.443820000000004</v>
      </c>
      <c r="I56" s="26">
        <f>$I$54*(1-$I$51)+$I$55-$I$48-$I$49-$I$50-(Inputs!$E$100*($I$54+$I$55)+Inputs!$E$101)-$I$52*Inputs!$E$93-Inputs!$E$108*($I$54+$I$55+Inputs!$E$109)</f>
        <v>8.21542</v>
      </c>
      <c r="J56" s="26">
        <f>$J$54*(1-$J$51)+$J$55-$J$48-$J$49-$J$50-(Inputs!$E$100*($J$54+$J$55)+Inputs!$E$101)-$J$52*Inputs!$E$93-Inputs!$E$108*($J$54+$J$55+Inputs!$E$109)</f>
        <v>8.21542</v>
      </c>
    </row>
    <row r="57">
      <c r="A57" s="4" t="inlineStr">
        <is>
          <t>Cohort parameters (100 customers)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3" t="inlineStr">
        <is>
          <t>Customers acquired</t>
        </is>
      </c>
      <c r="C58" s="12">
        <f>Inputs!$E$9</f>
        <v>100.0</v>
      </c>
      <c r="D58" s="12">
        <f>Inputs!$E$9</f>
        <v>100.0</v>
      </c>
      <c r="E58" s="12">
        <f>Inputs!$E$9</f>
        <v>100.0</v>
      </c>
      <c r="F58" s="12">
        <f>Inputs!$E$9</f>
        <v>100.0</v>
      </c>
      <c r="G58" s="12">
        <f>Inputs!$E$9</f>
        <v>100.0</v>
      </c>
      <c r="H58" s="12">
        <f>Inputs!$E$9</f>
        <v>100.0</v>
      </c>
      <c r="I58" s="12">
        <f>Inputs!$E$9</f>
        <v>100.0</v>
      </c>
      <c r="J58" s="12">
        <f>Inputs!$E$9</f>
        <v>100.0</v>
      </c>
    </row>
    <row r="59">
      <c r="A59" s="3" t="inlineStr">
        <is>
          <t>Subscription attach</t>
        </is>
      </c>
      <c r="C59" s="45">
        <f>Inputs!$E$133</f>
        <v>0.2</v>
      </c>
      <c r="D59" s="45">
        <f>Inputs!$E$133</f>
        <v>0.2</v>
      </c>
      <c r="E59" s="45">
        <f>Inputs!$E$133</f>
        <v>0.2</v>
      </c>
      <c r="F59" s="45">
        <f>Inputs!$E$133</f>
        <v>0.2</v>
      </c>
      <c r="G59" s="45">
        <f>Inputs!$E$133</f>
        <v>0.2</v>
      </c>
      <c r="H59" s="45">
        <f>Inputs!$E$133</f>
        <v>0.2</v>
      </c>
      <c r="I59" s="45">
        <f>Inputs!$E$144</f>
        <v>0.15</v>
      </c>
      <c r="J59" s="45">
        <f>Inputs!$E$144</f>
        <v>0.15</v>
      </c>
    </row>
    <row r="60">
      <c r="A60" s="3" t="inlineStr">
        <is>
          <t>Non-subscriber 12-month repeat rate</t>
        </is>
      </c>
      <c r="C60" s="45">
        <f>Inputs!$E$139</f>
        <v>0.2</v>
      </c>
      <c r="D60" s="45">
        <f>Inputs!$E$139</f>
        <v>0.2</v>
      </c>
      <c r="E60" s="45">
        <f>Inputs!$E$139</f>
        <v>0.2</v>
      </c>
      <c r="F60" s="45">
        <f>Inputs!$E$139</f>
        <v>0.2</v>
      </c>
      <c r="G60" s="45">
        <f>Inputs!$E$139</f>
        <v>0.2</v>
      </c>
      <c r="H60" s="45">
        <f>Inputs!$E$139</f>
        <v>0.2</v>
      </c>
      <c r="I60" s="45">
        <f>Inputs!$E$147</f>
        <v>0.15</v>
      </c>
      <c r="J60" s="45">
        <f>Inputs!$E$147</f>
        <v>0.15</v>
      </c>
    </row>
    <row r="61">
      <c r="A61" s="3" t="inlineStr">
        <is>
          <t>Subscribers</t>
        </is>
      </c>
      <c r="C61" s="46">
        <f>$C$58*$C$59</f>
        <v>20.0</v>
      </c>
      <c r="D61" s="46">
        <f>$D$58*$D$59</f>
        <v>20.0</v>
      </c>
      <c r="E61" s="46">
        <f>$E$58*$E$59</f>
        <v>20.0</v>
      </c>
      <c r="F61" s="46">
        <f>$F$58*$F$59</f>
        <v>20.0</v>
      </c>
      <c r="G61" s="46">
        <f>$G$58*$G$59</f>
        <v>20.0</v>
      </c>
      <c r="H61" s="46">
        <f>$H$58*$H$59</f>
        <v>20.0</v>
      </c>
      <c r="I61" s="46">
        <f>$I$58*$I$59</f>
        <v>15.0</v>
      </c>
      <c r="J61" s="46">
        <f>$J$58*$J$59</f>
        <v>15.0</v>
      </c>
    </row>
    <row r="62">
      <c r="A62" s="3" t="inlineStr">
        <is>
          <t>Occasional repeat buyers</t>
        </is>
      </c>
      <c r="C62" s="46">
        <f>$C$58*(1-$C$59)*$C$60</f>
        <v>16.0</v>
      </c>
      <c r="D62" s="46">
        <f>$D$58*(1-$D$59)*$D$60</f>
        <v>16.0</v>
      </c>
      <c r="E62" s="46">
        <f>$E$58*(1-$E$59)*$E$60</f>
        <v>16.0</v>
      </c>
      <c r="F62" s="46">
        <f>$F$58*(1-$F$59)*$F$60</f>
        <v>16.0</v>
      </c>
      <c r="G62" s="46">
        <f>$G$58*(1-$G$59)*$G$60</f>
        <v>16.0</v>
      </c>
      <c r="H62" s="46">
        <f>$H$58*(1-$H$59)*$H$60</f>
        <v>16.0</v>
      </c>
      <c r="I62" s="46">
        <f>$I$58*(1-$I$59)*$I$60</f>
        <v>12.75</v>
      </c>
      <c r="J62" s="46">
        <f>$J$58*(1-$J$59)*$J$60</f>
        <v>12.75</v>
      </c>
    </row>
    <row r="63">
      <c r="A63" s="3" t="inlineStr">
        <is>
          <t>Base churn before first renewal, incl. involuntary (cat: per 90-day cycle; espresso: first month)</t>
        </is>
      </c>
      <c r="C63" s="34">
        <f>1-(1-Inputs!$E$135)*(1-Inputs!$E$137)^Inputs!$E$134</f>
        <v>0.26564000725000003</v>
      </c>
      <c r="D63" s="34">
        <f>1-(1-Inputs!$E$135)*(1-Inputs!$E$137)^Inputs!$E$134</f>
        <v>0.26564000725000003</v>
      </c>
      <c r="E63" s="34">
        <f>1-(1-Inputs!$E$135)*(1-Inputs!$E$137)^Inputs!$E$134</f>
        <v>0.26564000725000003</v>
      </c>
      <c r="F63" s="34">
        <f>1-(1-Inputs!$E$135)*(1-Inputs!$E$137)^Inputs!$E$134</f>
        <v>0.26564000725000003</v>
      </c>
      <c r="G63" s="34">
        <f>1-(1-Inputs!$E$135)*(1-Inputs!$E$137)^Inputs!$E$134</f>
        <v>0.26564000725000003</v>
      </c>
      <c r="H63" s="34">
        <f>1-(1-Inputs!$E$135)*(1-Inputs!$E$137)^Inputs!$E$134</f>
        <v>0.26564000725000003</v>
      </c>
      <c r="I63" s="34">
        <f>1-(1-Inputs!$E$145)*(1-Inputs!$E$137)</f>
        <v>0.1857399999999999</v>
      </c>
      <c r="J63" s="34">
        <f>1-(1-Inputs!$E$145)*(1-Inputs!$E$137)</f>
        <v>0.1857399999999999</v>
      </c>
    </row>
    <row r="64">
      <c r="A64" s="3" t="inlineStr">
        <is>
          <t>Base churn per later cycle, incl. involuntary (cat: per 90 days; espresso: per month)</t>
        </is>
      </c>
      <c r="C64" s="34">
        <f>1-(1-Inputs!$E$136)*(1-Inputs!$E$137)^Inputs!$E$134</f>
        <v>0.16772534154999996</v>
      </c>
      <c r="D64" s="34">
        <f>1-(1-Inputs!$E$136)*(1-Inputs!$E$137)^Inputs!$E$134</f>
        <v>0.16772534154999996</v>
      </c>
      <c r="E64" s="34">
        <f>1-(1-Inputs!$E$136)*(1-Inputs!$E$137)^Inputs!$E$134</f>
        <v>0.16772534154999996</v>
      </c>
      <c r="F64" s="34">
        <f>1-(1-Inputs!$E$136)*(1-Inputs!$E$137)^Inputs!$E$134</f>
        <v>0.16772534154999996</v>
      </c>
      <c r="G64" s="34">
        <f>1-(1-Inputs!$E$136)*(1-Inputs!$E$137)^Inputs!$E$134</f>
        <v>0.16772534154999996</v>
      </c>
      <c r="H64" s="34">
        <f>1-(1-Inputs!$E$136)*(1-Inputs!$E$137)^Inputs!$E$134</f>
        <v>0.16772534154999996</v>
      </c>
      <c r="I64" s="34">
        <f>1-(1-Inputs!$E$146)*(1-Inputs!$E$137)</f>
        <v>0.07651000000000008</v>
      </c>
      <c r="J64" s="34">
        <f>1-(1-Inputs!$E$146)*(1-Inputs!$E$137)</f>
        <v>0.07651000000000008</v>
      </c>
    </row>
    <row r="65">
      <c r="A65" s="3" t="inlineStr">
        <is>
          <t>Month of first renewal</t>
        </is>
      </c>
      <c r="C65" s="41">
        <f>1+Inputs!$E$134</f>
        <v>4.0</v>
      </c>
      <c r="D65" s="41">
        <f>1+Inputs!$E$191</f>
        <v>7.0</v>
      </c>
      <c r="E65" s="41">
        <f>1+Inputs!$E$191</f>
        <v>7.0</v>
      </c>
      <c r="F65" s="41">
        <f>1+Inputs!$E$191</f>
        <v>7.0</v>
      </c>
      <c r="G65" s="41">
        <f>1+Inputs!$E$191</f>
        <v>7.0</v>
      </c>
      <c r="H65" s="41">
        <f>1+Inputs!$E$191</f>
        <v>7.0</v>
      </c>
      <c r="I65" s="41" t="n">
        <v>2</v>
      </c>
      <c r="J65" s="41" t="n">
        <v>2</v>
      </c>
    </row>
    <row r="66">
      <c r="A66" s="3" t="inlineStr">
        <is>
          <t>Months between renewals</t>
        </is>
      </c>
      <c r="C66" s="12">
        <f>Inputs!$E$134</f>
        <v>3.0</v>
      </c>
      <c r="D66" s="12">
        <f>Inputs!$E$134</f>
        <v>3.0</v>
      </c>
      <c r="E66" s="12">
        <f>Inputs!$E$197</f>
        <v>6.0</v>
      </c>
      <c r="F66" s="12">
        <f>Inputs!$E$197</f>
        <v>6.0</v>
      </c>
      <c r="G66" s="12">
        <f>Inputs!$E$197</f>
        <v>6.0</v>
      </c>
      <c r="H66" s="12">
        <f>Inputs!$E$197</f>
        <v>6.0</v>
      </c>
      <c r="I66" s="41" t="n">
        <v>1</v>
      </c>
      <c r="J66" s="41" t="n">
        <v>1</v>
      </c>
    </row>
    <row r="67">
      <c r="A67" s="3" t="inlineStr">
        <is>
          <t>Survival to first renewal (same monthly churn as base)</t>
        </is>
      </c>
      <c r="B67" s="2" t="inlineStr">
        <is>
          <t>Cat: first-cycle survival x later-cycle survival for each extra 90 days</t>
        </is>
      </c>
      <c r="C67" s="34">
        <f>(1-$C$63)*(1-$C$64)^(($C$65-1)/Inputs!$E$134-1)</f>
        <v>0.73435999275</v>
      </c>
      <c r="D67" s="34">
        <f>(1-$D$63)*(1-$D$64)^(($D$65-1)/Inputs!$E$134-1)</f>
        <v>0.6111892121453507</v>
      </c>
      <c r="E67" s="34">
        <f>(1-$E$63)*(1-$E$64)^(($E$65-1)/Inputs!$E$134-1)</f>
        <v>0.6111892121453507</v>
      </c>
      <c r="F67" s="34">
        <f>(1-$F$63)*(1-$F$64)^(($F$65-1)/Inputs!$E$134-1)</f>
        <v>0.6111892121453507</v>
      </c>
      <c r="G67" s="34">
        <f>(1-$G$63)*(1-$G$64)^(($G$65-1)/Inputs!$E$134-1)</f>
        <v>0.6111892121453507</v>
      </c>
      <c r="H67" s="34">
        <f>(1-$H$63)*(1-$H$64)^(($H$65-1)/Inputs!$E$134-1)</f>
        <v>0.6111892121453507</v>
      </c>
      <c r="I67" s="34">
        <f>1-$I$63</f>
        <v>0.8142600000000001</v>
      </c>
      <c r="J67" s="34">
        <f>1-$J$63</f>
        <v>0.8142600000000001</v>
      </c>
    </row>
    <row r="68">
      <c r="A68" s="3" t="inlineStr">
        <is>
          <t>Survival per renewal interval thereafter</t>
        </is>
      </c>
      <c r="C68" s="34">
        <f>(1-$C$64)^($C$66/Inputs!$E$134)</f>
        <v>0.83227465845</v>
      </c>
      <c r="D68" s="34">
        <f>(1-$D$64)^($D$66/Inputs!$E$134)</f>
        <v>0.83227465845</v>
      </c>
      <c r="E68" s="34">
        <f>(1-$E$64)^($E$66/Inputs!$E$134)</f>
        <v>0.6926811070980642</v>
      </c>
      <c r="F68" s="34">
        <f>(1-$F$64)^($F$66/Inputs!$E$134)</f>
        <v>0.6926811070980642</v>
      </c>
      <c r="G68" s="34">
        <f>(1-$G$64)^($G$66/Inputs!$E$134)</f>
        <v>0.6926811070980642</v>
      </c>
      <c r="H68" s="34">
        <f>(1-$H$64)^($H$66/Inputs!$E$134)</f>
        <v>0.6926811070980642</v>
      </c>
      <c r="I68" s="34">
        <f>1-$I$64</f>
        <v>0.9234899999999999</v>
      </c>
      <c r="J68" s="34">
        <f>1-$J$64</f>
        <v>0.9234899999999999</v>
      </c>
    </row>
    <row r="69">
      <c r="A69" s="3" t="inlineStr">
        <is>
          <t>Per-cycle churn equivalent (1 - survival per interval)</t>
        </is>
      </c>
      <c r="B69" s="2" t="inlineStr">
        <is>
          <t>R2-R6: 180-day churn equal to base monthly churn compounded</t>
        </is>
      </c>
      <c r="C69" s="34">
        <f>1-$C$68</f>
        <v>0.16772534154999996</v>
      </c>
      <c r="D69" s="34">
        <f>1-$D$68</f>
        <v>0.16772534154999996</v>
      </c>
      <c r="E69" s="34">
        <f>1-$E$68</f>
        <v>0.3073188929019358</v>
      </c>
      <c r="F69" s="34">
        <f>1-$F$68</f>
        <v>0.3073188929019358</v>
      </c>
      <c r="G69" s="34">
        <f>1-$G$68</f>
        <v>0.3073188929019358</v>
      </c>
      <c r="H69" s="34">
        <f>1-$H$68</f>
        <v>0.3073188929019358</v>
      </c>
      <c r="I69" s="34">
        <f>1-$I$68</f>
        <v>0.07651000000000008</v>
      </c>
      <c r="J69" s="34">
        <f>1-$J$68</f>
        <v>0.07651000000000008</v>
      </c>
    </row>
    <row r="70">
      <c r="A70" s="3" t="inlineStr">
        <is>
          <t>Occasional: month of first repeat</t>
        </is>
      </c>
      <c r="C70" s="12">
        <f>Inputs!$E$140</f>
        <v>4.0</v>
      </c>
      <c r="D70" s="41">
        <f>1+Inputs!$E$191</f>
        <v>7.0</v>
      </c>
      <c r="E70" s="41">
        <f>1+Inputs!$E$191</f>
        <v>7.0</v>
      </c>
      <c r="F70" s="41">
        <f>1+Inputs!$E$191</f>
        <v>7.0</v>
      </c>
      <c r="G70" s="41">
        <f>1+Inputs!$E$191</f>
        <v>7.0</v>
      </c>
      <c r="H70" s="41">
        <f>1+Inputs!$E$191</f>
        <v>7.0</v>
      </c>
      <c r="I70" s="12">
        <f>Inputs!$E$148</f>
        <v>2.0</v>
      </c>
      <c r="J70" s="12">
        <f>Inputs!$E$148</f>
        <v>2.0</v>
      </c>
    </row>
    <row r="71">
      <c r="A71" s="3" t="inlineStr">
        <is>
          <t>Occasional: months between orders</t>
        </is>
      </c>
      <c r="C71" s="12">
        <f>Inputs!$E$141</f>
        <v>4.0</v>
      </c>
      <c r="D71" s="12">
        <f>Inputs!$E$141</f>
        <v>4.0</v>
      </c>
      <c r="E71" s="12">
        <f>Inputs!$E$198</f>
        <v>8.0</v>
      </c>
      <c r="F71" s="12">
        <f>Inputs!$E$198</f>
        <v>8.0</v>
      </c>
      <c r="G71" s="12">
        <f>Inputs!$E$198</f>
        <v>8.0</v>
      </c>
      <c r="H71" s="12">
        <f>Inputs!$E$198</f>
        <v>8.0</v>
      </c>
      <c r="I71" s="12">
        <f>Inputs!$E$149</f>
        <v>3.0</v>
      </c>
      <c r="J71" s="12">
        <f>Inputs!$E$149</f>
        <v>3.0</v>
      </c>
    </row>
    <row r="72">
      <c r="A72" s="3" t="inlineStr">
        <is>
          <t>Occasional: probability of each further order</t>
        </is>
      </c>
      <c r="C72" s="45">
        <f>Inputs!$E$142</f>
        <v>0.6</v>
      </c>
      <c r="D72" s="45">
        <f>Inputs!$E$142</f>
        <v>0.6</v>
      </c>
      <c r="E72" s="45">
        <f>Inputs!$E$142</f>
        <v>0.6</v>
      </c>
      <c r="F72" s="45">
        <f>Inputs!$E$142</f>
        <v>0.6</v>
      </c>
      <c r="G72" s="45">
        <f>Inputs!$E$142</f>
        <v>0.6</v>
      </c>
      <c r="H72" s="45">
        <f>Inputs!$E$142</f>
        <v>0.6</v>
      </c>
      <c r="I72" s="45">
        <f>Inputs!$E$150</f>
        <v>0.5</v>
      </c>
      <c r="J72" s="45">
        <f>Inputs!$E$150</f>
        <v>0.5</v>
      </c>
    </row>
    <row r="73">
      <c r="A73" s="4" t="inlineStr">
        <is>
          <t>Results (from each variant's 24-month cohort)</t>
        </is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16" t="inlineStr">
        <is>
          <t>12-month contribution LTV per customer (before CAC)</t>
        </is>
      </c>
      <c r="C74" s="23">
        <f>SUM(C336:N336)/$C$58</f>
        <v>3.1692859856986333</v>
      </c>
      <c r="D74" s="23">
        <f>SUM(C346:N346)/$D$58</f>
        <v>15.691179409524613</v>
      </c>
      <c r="E74" s="23">
        <f>SUM(C356:N356)/$E$58</f>
        <v>18.665302462089212</v>
      </c>
      <c r="F74" s="23">
        <f>SUM(C366:N366)/$F$58</f>
        <v>14.636302462089207</v>
      </c>
      <c r="G74" s="23">
        <f>SUM(C376:N376)/$G$58</f>
        <v>21.196329187089223</v>
      </c>
      <c r="H74" s="23">
        <f>SUM(C386:N386)/$H$58</f>
        <v>17.167329187089216</v>
      </c>
      <c r="I74" s="23">
        <f>SUM(C396:N396)/$I$58</f>
        <v>27.155183071337706</v>
      </c>
      <c r="J74" s="23">
        <f>SUM(C406:N406)/$J$58</f>
        <v>39.652103071337706</v>
      </c>
    </row>
    <row r="75">
      <c r="A75" s="3" t="inlineStr">
        <is>
          <t>24-month contribution LTV per customer (before CAC)</t>
        </is>
      </c>
      <c r="C75" s="26">
        <f>SUM(C336:Z336)/$C$58</f>
        <v>2.149987212021038</v>
      </c>
      <c r="D75" s="26">
        <f>SUM(C346:Z346)/$D$58</f>
        <v>14.590971233735017</v>
      </c>
      <c r="E75" s="26">
        <f>SUM(C356:Z356)/$E$58</f>
        <v>20.463630924263704</v>
      </c>
      <c r="F75" s="26">
        <f>SUM(C366:Z366)/$F$58</f>
        <v>16.434630924263697</v>
      </c>
      <c r="G75" s="26">
        <f>SUM(C376:Z376)/$G$58</f>
        <v>22.994657649263715</v>
      </c>
      <c r="H75" s="26">
        <f>SUM(C386:Z386)/$H$58</f>
        <v>18.965657649263708</v>
      </c>
      <c r="I75" s="26">
        <f>SUM(C396:Z396)/$I$58</f>
        <v>29.07202661116104</v>
      </c>
      <c r="J75" s="26">
        <f>SUM(C406:Z406)/$J$58</f>
        <v>41.56894661116104</v>
      </c>
    </row>
    <row r="76">
      <c r="A76" s="16" t="inlineStr">
        <is>
          <t>12-month LTV net of CAC</t>
        </is>
      </c>
      <c r="C76" s="42">
        <f>$C$74-$C$21</f>
        <v>-41.830714014301364</v>
      </c>
      <c r="D76" s="42">
        <f>$D$74-$D$21</f>
        <v>-29.308820590475385</v>
      </c>
      <c r="E76" s="42">
        <f>$E$74-$E$21</f>
        <v>-26.334697537910788</v>
      </c>
      <c r="F76" s="42">
        <f>$F$74-$F$21</f>
        <v>-14.613697537910793</v>
      </c>
      <c r="G76" s="42">
        <f>$G$74-$G$21</f>
        <v>-23.803670812910777</v>
      </c>
      <c r="H76" s="42">
        <f>$H$74-$H$21</f>
        <v>-12.082670812910784</v>
      </c>
      <c r="I76" s="42">
        <f>$I$74-$I$21</f>
        <v>-17.844816928662294</v>
      </c>
      <c r="J76" s="42">
        <f>$J$74-$J$21</f>
        <v>-5.347896928662294</v>
      </c>
    </row>
    <row r="77">
      <c r="A77" s="16" t="inlineStr">
        <is>
          <t>24-month LTV net of CAC</t>
        </is>
      </c>
      <c r="C77" s="42">
        <f>$C$75-$C$21</f>
        <v>-42.85001278797896</v>
      </c>
      <c r="D77" s="42">
        <f>$D$75-$D$21</f>
        <v>-30.40902876626498</v>
      </c>
      <c r="E77" s="42">
        <f>$E$75-$E$21</f>
        <v>-24.536369075736296</v>
      </c>
      <c r="F77" s="42">
        <f>$F$75-$F$21</f>
        <v>-12.815369075736303</v>
      </c>
      <c r="G77" s="42">
        <f>$G$75-$G$21</f>
        <v>-22.005342350736285</v>
      </c>
      <c r="H77" s="42">
        <f>$H$75-$H$21</f>
        <v>-10.284342350736292</v>
      </c>
      <c r="I77" s="42">
        <f>$I$75-$I$21</f>
        <v>-15.92797338883896</v>
      </c>
      <c r="J77" s="42">
        <f>$J$75-$J$21</f>
        <v>-3.4310533888389614</v>
      </c>
    </row>
    <row r="78">
      <c r="A78" s="16" t="inlineStr">
        <is>
          <t>12-month LTV:CAC</t>
        </is>
      </c>
      <c r="C78" s="53">
        <f>IFERROR($C$74/$C$21,0)</f>
        <v>0.07042857745996962</v>
      </c>
      <c r="D78" s="53">
        <f>IFERROR($D$74/$D$21,0)</f>
        <v>0.34869287576721364</v>
      </c>
      <c r="E78" s="53">
        <f>IFERROR($E$74/$E$21,0)</f>
        <v>0.41478449915753807</v>
      </c>
      <c r="F78" s="53">
        <f>IFERROR($F$74/$F$21,0)</f>
        <v>0.5003864089603147</v>
      </c>
      <c r="G78" s="53">
        <f>IFERROR($G$74/$G$21,0)</f>
        <v>0.4710295374908716</v>
      </c>
      <c r="H78" s="53">
        <f>IFERROR($H$74/$H$21,0)</f>
        <v>0.5869172371654433</v>
      </c>
      <c r="I78" s="53">
        <f>IFERROR($I$74/$I$21,0)</f>
        <v>0.6034485126963934</v>
      </c>
      <c r="J78" s="53">
        <f>IFERROR($J$74/$J$21,0)</f>
        <v>0.8811578460297268</v>
      </c>
    </row>
    <row r="79">
      <c r="A79" s="3" t="inlineStr">
        <is>
          <t>24-month LTV:CAC</t>
        </is>
      </c>
      <c r="C79" s="37">
        <f>IFERROR($C$75/$C$21,0)</f>
        <v>0.047777493600467506</v>
      </c>
      <c r="D79" s="37">
        <f>IFERROR($D$75/$D$21,0)</f>
        <v>0.3242438051941115</v>
      </c>
      <c r="E79" s="37">
        <f>IFERROR($E$75/$E$21,0)</f>
        <v>0.45474735387252674</v>
      </c>
      <c r="F79" s="37">
        <f>IFERROR($F$75/$F$21,0)</f>
        <v>0.5618677239064512</v>
      </c>
      <c r="G79" s="37">
        <f>IFERROR($G$75/$G$21,0)</f>
        <v>0.5109923922058603</v>
      </c>
      <c r="H79" s="37">
        <f>IFERROR($H$75/$H$21,0)</f>
        <v>0.6483985521115797</v>
      </c>
      <c r="I79" s="37">
        <f>IFERROR($I$75/$I$21,0)</f>
        <v>0.6460450358035786</v>
      </c>
      <c r="J79" s="37">
        <f>IFERROR($J$75/$J$21,0)</f>
        <v>0.923754369136912</v>
      </c>
    </row>
    <row r="80">
      <c r="A80" s="3" t="inlineStr">
        <is>
          <t>Payback month (99 = none within 24 months)</t>
        </is>
      </c>
      <c r="C80" s="41">
        <f>MIN(C340:Z340)</f>
        <v>99.0</v>
      </c>
      <c r="D80" s="41">
        <f>MIN(C350:Z350)</f>
        <v>99.0</v>
      </c>
      <c r="E80" s="41">
        <f>MIN(C360:Z360)</f>
        <v>99.0</v>
      </c>
      <c r="F80" s="41">
        <f>MIN(C370:Z370)</f>
        <v>99.0</v>
      </c>
      <c r="G80" s="41">
        <f>MIN(C380:Z380)</f>
        <v>99.0</v>
      </c>
      <c r="H80" s="41">
        <f>MIN(C390:Z390)</f>
        <v>99.0</v>
      </c>
      <c r="I80" s="41">
        <f>MIN(C400:Z400)</f>
        <v>99.0</v>
      </c>
      <c r="J80" s="41">
        <f>MIN(C410:Z410)</f>
        <v>99.0</v>
      </c>
    </row>
    <row r="81">
      <c r="A81" s="16" t="inlineStr">
        <is>
          <t>Payback</t>
        </is>
      </c>
      <c r="C81" s="52" t="str">
        <f>IF($C$80&gt;24,"None in 24 months","Month "&amp;$C$80)</f>
        <v>None in 24 months</v>
      </c>
      <c r="D81" s="52" t="str">
        <f>IF($D$80&gt;24,"None in 24 months","Month "&amp;$D$80)</f>
        <v>None in 24 months</v>
      </c>
      <c r="E81" s="52" t="str">
        <f>IF($E$80&gt;24,"None in 24 months","Month "&amp;$E$80)</f>
        <v>None in 24 months</v>
      </c>
      <c r="F81" s="52" t="str">
        <f>IF($F$80&gt;24,"None in 24 months","Month "&amp;$F$80)</f>
        <v>None in 24 months</v>
      </c>
      <c r="G81" s="52" t="str">
        <f>IF($G$80&gt;24,"None in 24 months","Month "&amp;$G$80)</f>
        <v>None in 24 months</v>
      </c>
      <c r="H81" s="52" t="str">
        <f>IF($H$80&gt;24,"None in 24 months","Month "&amp;$H$80)</f>
        <v>None in 24 months</v>
      </c>
      <c r="I81" s="52" t="str">
        <f>IF($I$80&gt;24,"None in 24 months","Month "&amp;$I$80)</f>
        <v>None in 24 months</v>
      </c>
      <c r="J81" s="52" t="str">
        <f>IF($J$80&gt;24,"None in 24 months","Month "&amp;$J$80)</f>
        <v>None in 24 months</v>
      </c>
    </row>
    <row r="82">
      <c r="A82" s="3" t="inlineStr">
        <is>
          <t>Renewal contribution per subscriber, 12 months</t>
        </is>
      </c>
      <c r="C82" s="26">
        <f>IFERROR(SUM(C334:N334)*$C$53/$C$61,0)</f>
        <v>-6.340197456506834</v>
      </c>
      <c r="D82" s="26">
        <f>IFERROR(SUM(C344:N344)*$D$53/$D$61,0)</f>
        <v>-3.8291841773769173</v>
      </c>
      <c r="E82" s="26">
        <f>IFERROR(SUM(C354:N354)*$E$53/$E$61,0)</f>
        <v>2.7930246854460656</v>
      </c>
      <c r="F82" s="26">
        <f>IFERROR(SUM(C364:N364)*$F$53/$F$61,0)</f>
        <v>2.7930246854460656</v>
      </c>
      <c r="G82" s="26">
        <f>IFERROR(SUM(C374:N374)*$G$53/$G$61,0)</f>
        <v>2.7930246854460656</v>
      </c>
      <c r="H82" s="26">
        <f>IFERROR(SUM(C384:N384)*$H$53/$H$61,0)</f>
        <v>2.7930246854460656</v>
      </c>
      <c r="I82" s="26">
        <f>IFERROR(SUM(C394:N394)*$I$53/$I$61,0)</f>
        <v>27.220392850584684</v>
      </c>
      <c r="J82" s="26">
        <f>IFERROR(SUM(C404:N404)*$J$53/$J$61,0)</f>
        <v>27.220392850584684</v>
      </c>
    </row>
    <row r="83">
      <c r="A83" s="3" t="inlineStr">
        <is>
          <t>Renewal contribution per subscriber, 24 months</t>
        </is>
      </c>
      <c r="C83" s="26">
        <f>IFERROR(SUM(C334:Z334)*$C$53/$C$61,0)</f>
        <v>-10.82987080905481</v>
      </c>
      <c r="D83" s="26">
        <f>IFERROR(SUM(C344:Z344)*$D$53/$D$61,0)</f>
        <v>-8.318857529924893</v>
      </c>
      <c r="E83" s="26">
        <f>IFERROR(SUM(C354:Z354)*$E$53/$E$61,0)</f>
        <v>6.067813236318521</v>
      </c>
      <c r="F83" s="26">
        <f>IFERROR(SUM(C364:Z364)*$F$53/$F$61,0)</f>
        <v>6.067813236318521</v>
      </c>
      <c r="G83" s="26">
        <f>IFERROR(SUM(C374:Z374)*$G$53/$G$61,0)</f>
        <v>6.067813236318521</v>
      </c>
      <c r="H83" s="26">
        <f>IFERROR(SUM(C384:Z384)*$H$53/$H$61,0)</f>
        <v>6.067813236318521</v>
      </c>
      <c r="I83" s="26">
        <f>IFERROR(SUM(C394:Z394)*$I$53/$I$61,0)</f>
        <v>39.18101693117776</v>
      </c>
      <c r="J83" s="26">
        <f>IFERROR(SUM(C404:Z404)*$J$53/$J$61,0)</f>
        <v>39.18101693117776</v>
      </c>
    </row>
    <row r="84">
      <c r="A84" s="3" t="inlineStr">
        <is>
          <t>Repeat contribution per occasional buyer, 12 months</t>
        </is>
      </c>
      <c r="C84" s="26">
        <f>IFERROR(SUM(C335:N335)*$C$56/$C$62,0)</f>
        <v>-3.5116927999999996</v>
      </c>
      <c r="D84" s="26">
        <f>IFERROR(SUM(C345:N345)*$D$56/$D$62,0)</f>
        <v>-2.866688</v>
      </c>
      <c r="E84" s="26">
        <f>IFERROR(SUM(C355:N355)*$E$56/$E$62,0)</f>
        <v>7.443820000000004</v>
      </c>
      <c r="F84" s="26">
        <f>IFERROR(SUM(C365:N365)*$F$56/$F$62,0)</f>
        <v>7.443820000000004</v>
      </c>
      <c r="G84" s="26">
        <f>IFERROR(SUM(C375:N375)*$G$56/$G$62,0)</f>
        <v>7.443820000000004</v>
      </c>
      <c r="H84" s="26">
        <f>IFERROR(SUM(C385:N385)*$H$56/$H$62,0)</f>
        <v>7.443820000000004</v>
      </c>
      <c r="I84" s="26">
        <f>IFERROR(SUM(C395:N395)*$I$56/$I$62,0)</f>
        <v>15.4039125</v>
      </c>
      <c r="J84" s="26">
        <f>IFERROR(SUM(C405:N405)*$J$56/$J$62,0)</f>
        <v>15.4039125</v>
      </c>
    </row>
    <row r="85">
      <c r="A85" s="3" t="inlineStr">
        <is>
          <t>Cohort cumulative contribution after CAC, month 24 (100 customers)</t>
        </is>
      </c>
      <c r="C85" s="33">
        <f>Z338</f>
        <v>-4285.001278797898</v>
      </c>
      <c r="D85" s="33">
        <f>Z348</f>
        <v>-3040.9028766264983</v>
      </c>
      <c r="E85" s="33">
        <f>Z358</f>
        <v>-2453.6369075736293</v>
      </c>
      <c r="F85" s="33">
        <f>Z368</f>
        <v>-1281.5369075736305</v>
      </c>
      <c r="G85" s="33">
        <f>Z378</f>
        <v>-2200.534235073628</v>
      </c>
      <c r="H85" s="33">
        <f>Z388</f>
        <v>-1028.4342350736295</v>
      </c>
      <c r="I85" s="33">
        <f>Z398</f>
        <v>-1592.7973388838961</v>
      </c>
      <c r="J85" s="33">
        <f>Z408</f>
        <v>-343.10533888389597</v>
      </c>
    </row>
    <row r="86">
      <c r="A86" s="3" t="inlineStr">
        <is>
          <t>Max CPA for first-order break-even (= first-order contribution before ads)</t>
        </is>
      </c>
      <c r="C86" s="26">
        <f>$C$39</f>
        <v>4.999196325</v>
      </c>
      <c r="D86" s="26">
        <f>$D$39</f>
        <v>16.915686324999996</v>
      </c>
      <c r="E86" s="26">
        <f>$E$39</f>
        <v>16.915686324999996</v>
      </c>
      <c r="F86" s="26">
        <f>$F$39</f>
        <v>12.886686324999992</v>
      </c>
      <c r="G86" s="26">
        <f>$G$39</f>
        <v>19.446713050000007</v>
      </c>
      <c r="H86" s="26">
        <f>$H$39</f>
        <v>15.417713050000003</v>
      </c>
      <c r="I86" s="26">
        <f>$I$39</f>
        <v>21.1081253</v>
      </c>
      <c r="J86" s="26">
        <f>$J$39</f>
        <v>33.6050453</v>
      </c>
    </row>
    <row r="87">
      <c r="A87" s="3" t="inlineStr">
        <is>
          <t>Max CPA for 12-month LTV:CAC &gt;= GO threshold</t>
        </is>
      </c>
      <c r="C87" s="26">
        <f>$C$74/Inputs!$E$162</f>
        <v>2.112857323799089</v>
      </c>
      <c r="D87" s="26">
        <f>$D$74/Inputs!$E$162</f>
        <v>10.460786273016408</v>
      </c>
      <c r="E87" s="26">
        <f>$E$74/Inputs!$E$162</f>
        <v>12.443534974726141</v>
      </c>
      <c r="F87" s="26">
        <f>$F$74/Inputs!$E$162</f>
        <v>9.757534974726138</v>
      </c>
      <c r="G87" s="26">
        <f>$G$74/Inputs!$E$162</f>
        <v>14.130886124726148</v>
      </c>
      <c r="H87" s="26">
        <f>$H$74/Inputs!$E$162</f>
        <v>11.444886124726144</v>
      </c>
      <c r="I87" s="26">
        <f>$I$74/Inputs!$E$162</f>
        <v>18.103455380891806</v>
      </c>
      <c r="J87" s="26">
        <f>$J$74/Inputs!$E$162</f>
        <v>26.434735380891805</v>
      </c>
    </row>
    <row r="88">
      <c r="A88" s="16" t="inlineStr">
        <is>
          <t>First-order break-even after CAC?</t>
        </is>
      </c>
      <c r="C88" s="16" t="str">
        <f>IF($C$42&gt;=0,"YES","no")</f>
        <v>no</v>
      </c>
      <c r="D88" s="16" t="str">
        <f>IF($D$42&gt;=0,"YES","no")</f>
        <v>no</v>
      </c>
      <c r="E88" s="16" t="str">
        <f>IF($E$42&gt;=0,"YES","no")</f>
        <v>no</v>
      </c>
      <c r="F88" s="16" t="str">
        <f>IF($F$42&gt;=0,"YES","no")</f>
        <v>no</v>
      </c>
      <c r="G88" s="16" t="str">
        <f>IF($G$42&gt;=0,"YES","no")</f>
        <v>no</v>
      </c>
      <c r="H88" s="16" t="str">
        <f>IF($H$42&gt;=0,"YES","no")</f>
        <v>no</v>
      </c>
      <c r="I88" s="16" t="str">
        <f>IF($I$42&gt;=0,"YES","no")</f>
        <v>no</v>
      </c>
      <c r="J88" s="16" t="str">
        <f>IF($J$42&gt;=0,"YES","no")</f>
        <v>no</v>
      </c>
    </row>
    <row r="89">
      <c r="A89" s="16" t="inlineStr">
        <is>
          <t>12-month LTV:CAC &gt;= GO threshold?</t>
        </is>
      </c>
      <c r="C89" s="16" t="str">
        <f>IF($C$78&gt;=Inputs!$E$162,"YES","no")</f>
        <v>no</v>
      </c>
      <c r="D89" s="16" t="str">
        <f>IF($D$78&gt;=Inputs!$E$162,"YES","no")</f>
        <v>no</v>
      </c>
      <c r="E89" s="16" t="str">
        <f>IF($E$78&gt;=Inputs!$E$162,"YES","no")</f>
        <v>no</v>
      </c>
      <c r="F89" s="16" t="str">
        <f>IF($F$78&gt;=Inputs!$E$162,"YES","no")</f>
        <v>no</v>
      </c>
      <c r="G89" s="16" t="str">
        <f>IF($G$78&gt;=Inputs!$E$162,"YES","no")</f>
        <v>no</v>
      </c>
      <c r="H89" s="16" t="str">
        <f>IF($H$78&gt;=Inputs!$E$162,"YES","no")</f>
        <v>no</v>
      </c>
      <c r="I89" s="16" t="str">
        <f>IF($I$78&gt;=Inputs!$E$162,"YES","no")</f>
        <v>no</v>
      </c>
      <c r="J89" s="16" t="str">
        <f>IF($J$78&gt;=Inputs!$E$162,"YES","no")</f>
        <v>no</v>
      </c>
    </row>
    <row r="90">
      <c r="A90" s="16" t="inlineStr">
        <is>
          <t>BOTH targets met?</t>
        </is>
      </c>
      <c r="C90" s="52" t="str">
        <f>IF(AND($C$42&gt;=0,$C$78&gt;=Inputs!$E$162),"YES","no")</f>
        <v>no</v>
      </c>
      <c r="D90" s="52" t="str">
        <f>IF(AND($D$42&gt;=0,$D$78&gt;=Inputs!$E$162),"YES","no")</f>
        <v>no</v>
      </c>
      <c r="E90" s="52" t="str">
        <f>IF(AND($E$42&gt;=0,$E$78&gt;=Inputs!$E$162),"YES","no")</f>
        <v>no</v>
      </c>
      <c r="F90" s="52" t="str">
        <f>IF(AND($F$42&gt;=0,$F$78&gt;=Inputs!$E$162),"YES","no")</f>
        <v>no</v>
      </c>
      <c r="G90" s="52" t="str">
        <f>IF(AND($G$42&gt;=0,$G$78&gt;=Inputs!$E$162),"YES","no")</f>
        <v>no</v>
      </c>
      <c r="H90" s="52" t="str">
        <f>IF(AND($H$42&gt;=0,$H$78&gt;=Inputs!$E$162),"YES","no")</f>
        <v>no</v>
      </c>
      <c r="I90" s="52" t="str">
        <f>IF(AND($I$42&gt;=0,$I$78&gt;=Inputs!$E$162),"YES","no")</f>
        <v>no</v>
      </c>
      <c r="J90" s="52" t="str">
        <f>IF(AND($J$42&gt;=0,$J$78&gt;=Inputs!$E$162),"YES","no")</f>
        <v>no</v>
      </c>
    </row>
    <row r="91">
      <c r="A91" s="16" t="inlineStr">
        <is>
          <t>Hero price needed to meet BOTH targets (all else fixed; exact, contribution is linear in price)</t>
        </is>
      </c>
      <c r="B91" s="2" t="inlineStr">
        <is>
          <t>First order after CAC &gt;= 0 and 12-mo LTV:CAC &gt;= GO</t>
        </is>
      </c>
      <c r="C91" s="23">
        <f>$C$9+MAX(0,($C$21-$C$39)/(1-$C$17-Inputs!$E$100-$C$19*$C$20-Inputs!$E$108),(Inputs!$E$162*$C$21-$C$74)/(1-$C$17-Inputs!$E$100-$C$19*$C$20-Inputs!$E$108))</f>
        <v>120.7608625019817</v>
      </c>
      <c r="D91" s="23">
        <f>$D$9+MAX(0,($D$21-$D$39)/(1-$D$17-Inputs!$E$100-$D$19*$D$20-Inputs!$E$108),(Inputs!$E$162*$D$21-$D$74)/(1-$D$17-Inputs!$E$100-$D$19*$D$20-Inputs!$E$108))</f>
        <v>135.9954021897419</v>
      </c>
      <c r="E91" s="23">
        <f>$E$9+MAX(0,($E$21-$E$39)/(1-$E$17-Inputs!$E$100-$E$19*$E$20-Inputs!$E$108),(Inputs!$E$162*$E$21-$E$74)/(1-$E$17-Inputs!$E$100-$E$19*$E$20-Inputs!$E$108))</f>
        <v>132.72353964566645</v>
      </c>
      <c r="F91" s="23">
        <f>$F$9+MAX(0,($F$21-$F$39)/(1-$F$17-Inputs!$E$100-$F$19*$F$20-Inputs!$E$108),(Inputs!$E$162*$F$21-$F$74)/(1-$F$17-Inputs!$E$100-$F$19*$F$20-Inputs!$E$108))</f>
        <v>113.0777360581711</v>
      </c>
      <c r="G91" s="23">
        <f>$G$9+MAX(0,($G$21-$G$39)/(1-$G$17-Inputs!$E$100-$G$19*$G$20-Inputs!$E$108),(Inputs!$E$162*$G$21-$G$74)/(1-$G$17-Inputs!$E$100-$G$19*$G$20-Inputs!$E$108))</f>
        <v>129.9391318073826</v>
      </c>
      <c r="H91" s="23">
        <f>$H$9+MAX(0,($H$21-$H$39)/(1-$H$17-Inputs!$E$100-$H$19*$H$20-Inputs!$E$108),(Inputs!$E$162*$H$21-$H$74)/(1-$H$17-Inputs!$E$100-$H$19*$H$20-Inputs!$E$108))</f>
        <v>110.12782146026898</v>
      </c>
      <c r="I91" s="23">
        <f>$I$9+MAX(0,($I$21-$I$39)/(1-$I$17-Inputs!$E$100-$I$19*$I$20-Inputs!$E$108),(Inputs!$E$162*$I$21-$I$74)/(1-$I$17-Inputs!$E$100-$I$19*$I$20-Inputs!$E$108))</f>
        <v>130.219615390877</v>
      </c>
      <c r="J91" s="23">
        <f>$J$9+MAX(0,($J$21-$J$39)/(1-$J$17-Inputs!$E$100-$J$19*$J$20-Inputs!$E$108),(Inputs!$E$162*$J$21-$J$74)/(1-$J$17-Inputs!$E$100-$J$19*$J$20-Inputs!$E$108))</f>
        <v>130.219615390877</v>
      </c>
    </row>
    <row r="92">
      <c r="A92" s="16" t="inlineStr">
        <is>
          <t>Blended CAC needed to meet BOTH targets (all else fixed)</t>
        </is>
      </c>
      <c r="C92" s="23">
        <f>MIN($C$39,$C$74/Inputs!$E$162)</f>
        <v>2.112857323799089</v>
      </c>
      <c r="D92" s="23">
        <f>MIN($D$39,$D$74/Inputs!$E$162)</f>
        <v>10.460786273016408</v>
      </c>
      <c r="E92" s="23">
        <f>MIN($E$39,$E$74/Inputs!$E$162)</f>
        <v>12.443534974726141</v>
      </c>
      <c r="F92" s="23">
        <f>MIN($F$39,$F$74/Inputs!$E$162)</f>
        <v>9.757534974726138</v>
      </c>
      <c r="G92" s="23">
        <f>MIN($G$39,$G$74/Inputs!$E$162)</f>
        <v>14.130886124726148</v>
      </c>
      <c r="H92" s="23">
        <f>MIN($H$39,$H$74/Inputs!$E$162)</f>
        <v>11.444886124726144</v>
      </c>
      <c r="I92" s="23">
        <f>MIN($I$39,$I$74/Inputs!$E$162)</f>
        <v>18.103455380891806</v>
      </c>
      <c r="J92" s="23">
        <f>MIN($J$39,$J$74/Inputs!$E$162)</f>
        <v>26.434735380891805</v>
      </c>
    </row>
    <row r="93">
      <c r="A93" s="4" t="inlineStr">
        <is>
          <t>Launch cash before first private-label sale (tier in Inputs!D5, base-scenario costs)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3" t="inlineStr">
        <is>
          <t>Samples, certification, packaging design, brand, 3PL setup/receiving, mold</t>
        </is>
      </c>
      <c r="B94" s="2" t="inlineStr">
        <is>
          <t>Certification counted once here (cash)</t>
        </is>
      </c>
      <c r="C94" s="33">
        <f>Inputs!$G$171*(Inputs!$G$172+Inputs!$G$173)+Inputs!$G$174+Inputs!$E$49+Inputs!$E$50+Inputs!$E$51+Inputs!$G$175+Inputs!$G$176+Inputs!$E$98+Inputs!$E$95*Inputs!$E$97+Inputs!$G$180</f>
        <v>6919.56</v>
      </c>
      <c r="D94" s="33">
        <f>Inputs!$G$171*(Inputs!$G$172+Inputs!$G$173)+Inputs!$G$174+Inputs!$E$49+Inputs!$E$50+Inputs!$E$51+Inputs!$G$175+Inputs!$G$176+Inputs!$E$98+Inputs!$E$95*Inputs!$E$97+Inputs!$G$180</f>
        <v>6919.56</v>
      </c>
      <c r="E94" s="33">
        <f>Inputs!$G$171*(Inputs!$G$172+Inputs!$G$173)+Inputs!$G$174+Inputs!$E$49+Inputs!$E$50+Inputs!$E$51+Inputs!$G$175+Inputs!$G$176+Inputs!$E$98+Inputs!$E$95*Inputs!$E$97+Inputs!$G$180</f>
        <v>6919.56</v>
      </c>
      <c r="F94" s="33">
        <f>Inputs!$G$171*(Inputs!$G$172+Inputs!$G$173)+Inputs!$G$174+Inputs!$E$49+Inputs!$E$50+Inputs!$E$51+Inputs!$G$175+Inputs!$G$176+Inputs!$E$98+Inputs!$E$95*Inputs!$E$97+Inputs!$G$180</f>
        <v>6919.56</v>
      </c>
      <c r="G94" s="33">
        <f>Inputs!$G$171*(Inputs!$G$172+Inputs!$G$173)+Inputs!$G$174+Inputs!$E$49+Inputs!$E$50+Inputs!$E$51+Inputs!$G$175+Inputs!$G$176+Inputs!$E$98+Inputs!$E$95*Inputs!$E$97+Inputs!$G$180</f>
        <v>6919.56</v>
      </c>
      <c r="H94" s="33">
        <f>Inputs!$G$171*(Inputs!$G$172+Inputs!$G$173)+Inputs!$G$174+Inputs!$E$49+Inputs!$E$50+Inputs!$E$51+Inputs!$G$175+Inputs!$G$176+Inputs!$E$98+Inputs!$E$95*Inputs!$E$97+Inputs!$G$180</f>
        <v>6919.56</v>
      </c>
      <c r="I94" s="33">
        <f>Inputs!$G$171*(Inputs!$G$172+Inputs!$G$173)+Inputs!$G$174+Inputs!$E$50+Inputs!$E$51+Inputs!$G$175+Inputs!$G$176+Inputs!$E$98+Inputs!$E$97</f>
        <v>3898.52</v>
      </c>
      <c r="J94" s="33">
        <f>Inputs!$G$171*(Inputs!$G$172+Inputs!$G$173)+Inputs!$G$174+Inputs!$E$50+Inputs!$E$51+Inputs!$G$175+Inputs!$G$176+Inputs!$E$98+Inputs!$E$97</f>
        <v>3898.52</v>
      </c>
    </row>
    <row r="95">
      <c r="A95" s="3" t="inlineStr">
        <is>
          <t>Hero units ordered</t>
        </is>
      </c>
      <c r="C95" s="12">
        <f>Inputs!$G$177</f>
        <v>500.0</v>
      </c>
      <c r="D95" s="12">
        <f>Inputs!$G$177</f>
        <v>500.0</v>
      </c>
      <c r="E95" s="12">
        <f>Inputs!$G$177</f>
        <v>500.0</v>
      </c>
      <c r="F95" s="12">
        <f>Inputs!$G$177</f>
        <v>500.0</v>
      </c>
      <c r="G95" s="12">
        <f>Inputs!$G$177</f>
        <v>500.0</v>
      </c>
      <c r="H95" s="12">
        <f>Inputs!$G$177</f>
        <v>500.0</v>
      </c>
      <c r="I95" s="12">
        <f>Inputs!$E$68</f>
        <v>200.0</v>
      </c>
      <c r="J95" s="12">
        <f>Inputs!$E$68</f>
        <v>200.0</v>
      </c>
    </row>
    <row r="96">
      <c r="A96" s="3" t="inlineStr">
        <is>
          <t>Hero inventory (FOB)</t>
        </is>
      </c>
      <c r="C96" s="33">
        <f>$C$95*$C$10</f>
        <v>5885.0</v>
      </c>
      <c r="D96" s="33">
        <f>$D$95*$D$10</f>
        <v>5885.0</v>
      </c>
      <c r="E96" s="33">
        <f>$E$95*$E$10</f>
        <v>5885.0</v>
      </c>
      <c r="F96" s="33">
        <f>$F$95*$F$10</f>
        <v>5885.0</v>
      </c>
      <c r="G96" s="33">
        <f>$G$95*$G$10</f>
        <v>6861.999999999999</v>
      </c>
      <c r="H96" s="33">
        <f>$H$95*$H$10</f>
        <v>6861.999999999999</v>
      </c>
      <c r="I96" s="33">
        <f>$I$95*$I$10</f>
        <v>3860.0</v>
      </c>
      <c r="J96" s="33">
        <f>$J$95*$J$10</f>
        <v>3860.0</v>
      </c>
    </row>
    <row r="97">
      <c r="A97" s="3" t="inlineStr">
        <is>
          <t>Included filters + brush inventory</t>
        </is>
      </c>
      <c r="C97" s="33" t="n">
        <v>0</v>
      </c>
      <c r="D97" s="33">
        <f>$D$95*(Inputs!$E$190*Inputs!$E$56+Inputs!$E$192)</f>
        <v>3690.0</v>
      </c>
      <c r="E97" s="33">
        <f>$E$95*(Inputs!$E$190*Inputs!$E$56+Inputs!$E$192)</f>
        <v>3690.0</v>
      </c>
      <c r="F97" s="33">
        <f>$F$95*(Inputs!$E$190*Inputs!$E$56+Inputs!$E$192)</f>
        <v>3690.0</v>
      </c>
      <c r="G97" s="33">
        <f>$G$95*(Inputs!$E$190*Inputs!$E$56+Inputs!$E$192)</f>
        <v>3690.0</v>
      </c>
      <c r="H97" s="33">
        <f>$H$95*(Inputs!$E$190*Inputs!$E$56+Inputs!$E$192)</f>
        <v>3690.0</v>
      </c>
      <c r="I97" s="33" t="n">
        <v>0</v>
      </c>
      <c r="J97" s="33" t="n">
        <v>0</v>
      </c>
    </row>
    <row r="98">
      <c r="A98" s="3" t="inlineStr">
        <is>
          <t>US filter stock</t>
        </is>
      </c>
      <c r="C98" s="33">
        <f>Inputs!$G$178*Inputs!$E$56</f>
        <v>490.0</v>
      </c>
      <c r="D98" s="33">
        <f>Inputs!$G$178*Inputs!$E$56</f>
        <v>490.0</v>
      </c>
      <c r="E98" s="33">
        <f>Inputs!$G$178*Inputs!$E$56</f>
        <v>490.0</v>
      </c>
      <c r="F98" s="33">
        <f>Inputs!$G$178*Inputs!$E$56</f>
        <v>490.0</v>
      </c>
      <c r="G98" s="33">
        <f>Inputs!$G$178*Inputs!$E$56</f>
        <v>490.0</v>
      </c>
      <c r="H98" s="33">
        <f>Inputs!$G$178*Inputs!$E$56</f>
        <v>490.0</v>
      </c>
      <c r="I98" s="33" t="n">
        <v>0</v>
      </c>
      <c r="J98" s="33" t="n">
        <v>0</v>
      </c>
    </row>
    <row r="99">
      <c r="A99" s="3" t="inlineStr">
        <is>
          <t>Litter mats</t>
        </is>
      </c>
      <c r="C99" s="33">
        <f>Inputs!$G$179*Inputs!$E$53</f>
        <v>0.0</v>
      </c>
      <c r="D99" s="33">
        <f>Inputs!$G$179*Inputs!$E$53</f>
        <v>0.0</v>
      </c>
      <c r="E99" s="33">
        <f>Inputs!$G$179*Inputs!$E$53</f>
        <v>0.0</v>
      </c>
      <c r="F99" s="33">
        <f>Inputs!$G$179*Inputs!$E$53</f>
        <v>0.0</v>
      </c>
      <c r="G99" s="33">
        <f>Inputs!$G$179*Inputs!$E$53</f>
        <v>0.0</v>
      </c>
      <c r="H99" s="33">
        <f>Inputs!$G$179*Inputs!$E$53</f>
        <v>0.0</v>
      </c>
      <c r="I99" s="33" t="n">
        <v>0</v>
      </c>
      <c r="J99" s="33" t="n">
        <v>0</v>
      </c>
    </row>
    <row r="100">
      <c r="A100" s="3" t="inlineStr">
        <is>
          <t>Retail packaging</t>
        </is>
      </c>
      <c r="C100" s="33">
        <f>$C$95*Inputs!$E$48+Inputs!$G$178/Inputs!$E$15*Inputs!$E$59</f>
        <v>533.3333333333334</v>
      </c>
      <c r="D100" s="33">
        <f>$D$95*Inputs!$E$48+Inputs!$G$178/Inputs!$E$15*Inputs!$E$59</f>
        <v>533.3333333333334</v>
      </c>
      <c r="E100" s="33">
        <f>$E$95*Inputs!$E$48+Inputs!$G$178/Inputs!$E$15*Inputs!$E$59</f>
        <v>533.3333333333334</v>
      </c>
      <c r="F100" s="33">
        <f>$F$95*Inputs!$E$48+Inputs!$G$178/Inputs!$E$15*Inputs!$E$59</f>
        <v>533.3333333333334</v>
      </c>
      <c r="G100" s="33">
        <f>$G$95*Inputs!$E$48+Inputs!$G$178/Inputs!$E$15*Inputs!$E$59</f>
        <v>533.3333333333334</v>
      </c>
      <c r="H100" s="33">
        <f>$H$95*Inputs!$E$48+Inputs!$G$178/Inputs!$E$15*Inputs!$E$59</f>
        <v>533.3333333333334</v>
      </c>
      <c r="I100" s="33">
        <f>$I$95*Inputs!$E$69</f>
        <v>200.0</v>
      </c>
      <c r="J100" s="33">
        <f>$J$95*Inputs!$E$69</f>
        <v>200.0</v>
      </c>
    </row>
    <row r="101">
      <c r="A101" s="3" t="inlineStr">
        <is>
          <t>International freight</t>
        </is>
      </c>
      <c r="C101" s="33">
        <f>$C$95*Inputs!$E$38+(Inputs!$G$178+$C$95*0)/Inputs!$E$15*Inputs!$E$58+Inputs!$G$179*Inputs!$E$55</f>
        <v>1916.6666666666667</v>
      </c>
      <c r="D101" s="33">
        <f>$D$95*Inputs!$E$38+(Inputs!$G$178+$D$95*Inputs!$E$190)/Inputs!$E$15*Inputs!$E$58+Inputs!$G$179*Inputs!$E$55</f>
        <v>2916.666666666667</v>
      </c>
      <c r="E101" s="33">
        <f>$E$95*Inputs!$E$38+(Inputs!$G$178+$E$95*Inputs!$E$190)/Inputs!$E$15*Inputs!$E$58+Inputs!$G$179*Inputs!$E$55</f>
        <v>2916.666666666667</v>
      </c>
      <c r="F101" s="33">
        <f>$F$95*Inputs!$E$38+(Inputs!$G$178+$F$95*Inputs!$E$190)/Inputs!$E$15*Inputs!$E$58+Inputs!$G$179*Inputs!$E$55</f>
        <v>2916.666666666667</v>
      </c>
      <c r="G101" s="33">
        <f>$G$95*Inputs!$E$38+(Inputs!$G$178+$G$95*Inputs!$E$190)/Inputs!$E$15*Inputs!$E$58+Inputs!$G$179*Inputs!$E$55</f>
        <v>2916.666666666667</v>
      </c>
      <c r="H101" s="33">
        <f>$H$95*Inputs!$E$38+(Inputs!$G$178+$H$95*Inputs!$E$190)/Inputs!$E$15*Inputs!$E$58+Inputs!$G$179*Inputs!$E$55</f>
        <v>2916.666666666667</v>
      </c>
      <c r="I101" s="33">
        <f>$I$95*Inputs!$E$67</f>
        <v>300.0</v>
      </c>
      <c r="J101" s="33">
        <f>$J$95*Inputs!$E$67</f>
        <v>300.0</v>
      </c>
    </row>
    <row r="102">
      <c r="A102" s="3" t="inlineStr">
        <is>
          <t>Duties</t>
        </is>
      </c>
      <c r="C102" s="33">
        <f>$C$96*$C$11+($C$98+$C$97)*Inputs!$E$57+$C$99*Inputs!$E$54</f>
        <v>2390.625</v>
      </c>
      <c r="D102" s="33">
        <f>$D$96*$D$11+($D$98+$D$97)*Inputs!$E$57+$D$99*Inputs!$E$54</f>
        <v>3774.375</v>
      </c>
      <c r="E102" s="33">
        <f>$E$96*$E$11+($E$98+$E$97)*Inputs!$E$57+$E$99*Inputs!$E$54</f>
        <v>3774.375</v>
      </c>
      <c r="F102" s="33">
        <f>$F$96*$F$11+($F$98+$F$97)*Inputs!$E$57+$F$99*Inputs!$E$54</f>
        <v>3774.375</v>
      </c>
      <c r="G102" s="33">
        <f>$G$96*$G$11+($G$98+$G$97)*Inputs!$E$57+$G$99*Inputs!$E$54</f>
        <v>1567.5</v>
      </c>
      <c r="H102" s="33">
        <f>$H$96*$H$11+($H$98+$H$97)*Inputs!$E$57+$H$99*Inputs!$E$54</f>
        <v>1567.5</v>
      </c>
      <c r="I102" s="33">
        <f>$I$96*$I$11</f>
        <v>1598.04</v>
      </c>
      <c r="J102" s="33">
        <f>$J$96*$J$11</f>
        <v>1598.04</v>
      </c>
    </row>
    <row r="103">
      <c r="A103" s="3" t="inlineStr">
        <is>
          <t>Customs entry (broker, ISF, bond, MPF, HMF)</t>
        </is>
      </c>
      <c r="C103" s="33">
        <f>Inputs!$E$41+Inputs!$E$42+Inputs!$E$43+MAX(Inputs!$E$45,MIN(Inputs!$E$46,Inputs!$E$44*($C$96+$C$97+$C$98+$C$99)))+Inputs!$E$47*($C$96+$C$97+$C$98+$C$99)</f>
        <v>316.54875</v>
      </c>
      <c r="D103" s="33">
        <f>Inputs!$E$41+Inputs!$E$42+Inputs!$E$43+MAX(Inputs!$E$45,MIN(Inputs!$E$46,Inputs!$E$44*($D$96+$D$97+$D$98+$D$99)))+Inputs!$E$47*($D$96+$D$97+$D$98+$D$99)</f>
        <v>322.44641</v>
      </c>
      <c r="E103" s="33">
        <f>Inputs!$E$41+Inputs!$E$42+Inputs!$E$43+MAX(Inputs!$E$45,MIN(Inputs!$E$46,Inputs!$E$44*($E$96+$E$97+$E$98+$E$99)))+Inputs!$E$47*($E$96+$E$97+$E$98+$E$99)</f>
        <v>322.44641</v>
      </c>
      <c r="F103" s="33">
        <f>Inputs!$E$41+Inputs!$E$42+Inputs!$E$43+MAX(Inputs!$E$45,MIN(Inputs!$E$46,Inputs!$E$44*($F$96+$F$97+$F$98+$F$99)))+Inputs!$E$47*($F$96+$F$97+$F$98+$F$99)</f>
        <v>322.44641</v>
      </c>
      <c r="G103" s="33">
        <f>Inputs!$E$41+Inputs!$E$42+Inputs!$E$43+MAX(Inputs!$E$45,MIN(Inputs!$E$46,Inputs!$E$44*($G$96+$G$97+$G$98+$G$99)))+Inputs!$E$47*($G$96+$G$97+$G$98+$G$99)</f>
        <v>327.051988</v>
      </c>
      <c r="H103" s="33">
        <f>Inputs!$E$41+Inputs!$E$42+Inputs!$E$43+MAX(Inputs!$E$45,MIN(Inputs!$E$46,Inputs!$E$44*($H$96+$H$97+$H$98+$H$99)))+Inputs!$E$47*($H$96+$H$97+$H$98+$H$99)</f>
        <v>327.051988</v>
      </c>
      <c r="I103" s="33">
        <f>Inputs!$E$41+Inputs!$E$42+Inputs!$E$43+MAX(Inputs!$E$45,MIN(Inputs!$E$46,Inputs!$E$44*($I$96+$I$97+$I$98+$I$99)))+Inputs!$E$47*($I$96+$I$97+$I$98+$I$99)</f>
        <v>313.405</v>
      </c>
      <c r="J103" s="33">
        <f>Inputs!$E$41+Inputs!$E$42+Inputs!$E$43+MAX(Inputs!$E$45,MIN(Inputs!$E$46,Inputs!$E$44*($J$96+$J$97+$J$98+$J$99)))+Inputs!$E$47*($J$96+$J$97+$J$98+$J$99)</f>
        <v>313.405</v>
      </c>
    </row>
    <row r="104">
      <c r="A104" s="3" t="inlineStr">
        <is>
          <t>Subtotal one-time</t>
        </is>
      </c>
      <c r="C104" s="33">
        <f>$C$94+$C$96+$C$97+$C$98+$C$99+$C$100+$C$101+$C$102+$C$103</f>
        <v>18451.733750000003</v>
      </c>
      <c r="D104" s="33">
        <f>$D$94+$D$96+$D$97+$D$98+$D$99+$D$100+$D$101+$D$102+$D$103</f>
        <v>24531.38141</v>
      </c>
      <c r="E104" s="33">
        <f>$E$94+$E$96+$E$97+$E$98+$E$99+$E$100+$E$101+$E$102+$E$103</f>
        <v>24531.38141</v>
      </c>
      <c r="F104" s="33">
        <f>$F$94+$F$96+$F$97+$F$98+$F$99+$F$100+$F$101+$F$102+$F$103</f>
        <v>24531.38141</v>
      </c>
      <c r="G104" s="33">
        <f>$G$94+$G$96+$G$97+$G$98+$G$99+$G$100+$G$101+$G$102+$G$103</f>
        <v>23306.111987999997</v>
      </c>
      <c r="H104" s="33">
        <f>$H$94+$H$96+$H$97+$H$98+$H$99+$H$100+$H$101+$H$102+$H$103</f>
        <v>23306.111987999997</v>
      </c>
      <c r="I104" s="33">
        <f>$I$94+$I$96+$I$97+$I$98+$I$99+$I$100+$I$101+$I$102+$I$103</f>
        <v>10169.965000000002</v>
      </c>
      <c r="J104" s="33">
        <f>$J$94+$J$96+$J$97+$J$98+$J$99+$J$100+$J$101+$J$102+$J$103</f>
        <v>10169.965000000002</v>
      </c>
    </row>
    <row r="105">
      <c r="A105" s="16" t="inlineStr">
        <is>
          <t>Total one-time incl. contingency</t>
        </is>
      </c>
      <c r="C105" s="30">
        <f>$C$104*(1+Inputs!$G$187)</f>
        <v>20296.907125000005</v>
      </c>
      <c r="D105" s="30">
        <f>$D$104*(1+Inputs!$G$187)</f>
        <v>26984.519551000005</v>
      </c>
      <c r="E105" s="30">
        <f>$E$104*(1+Inputs!$G$187)</f>
        <v>26984.519551000005</v>
      </c>
      <c r="F105" s="30">
        <f>$F$104*(1+Inputs!$G$187)</f>
        <v>26984.519551000005</v>
      </c>
      <c r="G105" s="30">
        <f>$G$104*(1+Inputs!$G$187)</f>
        <v>25636.723186799998</v>
      </c>
      <c r="H105" s="30">
        <f>$H$104*(1+Inputs!$G$187)</f>
        <v>25636.723186799998</v>
      </c>
      <c r="I105" s="30">
        <f>$I$104*(1+Inputs!$G$187)</f>
        <v>11186.961500000003</v>
      </c>
      <c r="J105" s="30">
        <f>$J$104*(1+Inputs!$G$187)</f>
        <v>11186.961500000003</v>
      </c>
    </row>
    <row r="106">
      <c r="A106" s="3" t="inlineStr">
        <is>
          <t>Fixed costs until first PL sale</t>
        </is>
      </c>
      <c r="C106" s="33">
        <f>(Inputs!$E$152+Inputs!$E$153+Inputs!$E$154+Inputs!$E$155+Inputs!$E$156+Inputs!$E$157+Inputs!$G$184*Inputs!$E$125*(1+Inputs!$E$126))*Inputs!$G$183</f>
        <v>5718.75</v>
      </c>
      <c r="D106" s="33">
        <f>(Inputs!$E$152+Inputs!$E$153+Inputs!$E$154+Inputs!$E$155+Inputs!$E$156+Inputs!$E$157+Inputs!$G$184*Inputs!$E$125*(1+Inputs!$E$126))*Inputs!$G$183</f>
        <v>5718.75</v>
      </c>
      <c r="E106" s="33">
        <f>(Inputs!$E$152+Inputs!$E$153+Inputs!$E$154+Inputs!$E$155+Inputs!$E$156+Inputs!$E$157+Inputs!$G$184*Inputs!$E$125*(1+Inputs!$E$126))*Inputs!$G$183</f>
        <v>5718.75</v>
      </c>
      <c r="F106" s="33">
        <f>(Inputs!$E$152+Inputs!$E$153+Inputs!$E$154+Inputs!$E$155+Inputs!$E$156+Inputs!$E$157+Inputs!$G$184*Inputs!$E$125*(1+Inputs!$E$126))*Inputs!$G$183</f>
        <v>5718.75</v>
      </c>
      <c r="G106" s="33">
        <f>(Inputs!$E$152+Inputs!$E$153+Inputs!$E$154+Inputs!$E$155+Inputs!$E$156+Inputs!$E$157+Inputs!$G$184*Inputs!$E$125*(1+Inputs!$E$126))*Inputs!$G$183</f>
        <v>5718.75</v>
      </c>
      <c r="H106" s="33">
        <f>(Inputs!$E$152+Inputs!$E$153+Inputs!$E$154+Inputs!$E$155+Inputs!$E$156+Inputs!$E$157+Inputs!$G$184*Inputs!$E$125*(1+Inputs!$E$126))*Inputs!$G$183</f>
        <v>5718.75</v>
      </c>
      <c r="I106" s="33">
        <f>(Inputs!$E$152+Inputs!$E$153+Inputs!$E$154+Inputs!$E$155+Inputs!$E$156+Inputs!$E$158+Inputs!$E$157+Inputs!$G$184*Inputs!$E$125)*Inputs!$G$183</f>
        <v>5193.75</v>
      </c>
      <c r="J106" s="33">
        <f>(Inputs!$E$152+Inputs!$E$153+Inputs!$E$154+Inputs!$E$155+Inputs!$E$156+Inputs!$E$158+Inputs!$E$157+Inputs!$G$184*Inputs!$E$125)*Inputs!$G$183</f>
        <v>5193.75</v>
      </c>
    </row>
    <row r="107">
      <c r="A107" s="3" t="inlineStr">
        <is>
          <t>Test ad budget</t>
        </is>
      </c>
      <c r="C107" s="33">
        <f>Inputs!$G$181*Inputs!$G$182</f>
        <v>3000.0</v>
      </c>
      <c r="D107" s="33">
        <f>Inputs!$G$181*Inputs!$G$182</f>
        <v>3000.0</v>
      </c>
      <c r="E107" s="33">
        <f>Inputs!$G$181*Inputs!$G$182</f>
        <v>3000.0</v>
      </c>
      <c r="F107" s="33">
        <f>Inputs!$G$181*Inputs!$G$182</f>
        <v>3000.0</v>
      </c>
      <c r="G107" s="33">
        <f>Inputs!$G$181*Inputs!$G$182</f>
        <v>3000.0</v>
      </c>
      <c r="H107" s="33">
        <f>Inputs!$G$181*Inputs!$G$182</f>
        <v>3000.0</v>
      </c>
      <c r="I107" s="33">
        <f>Inputs!$G$181*Inputs!$G$182</f>
        <v>3000.0</v>
      </c>
      <c r="J107" s="33">
        <f>Inputs!$G$181*Inputs!$G$182</f>
        <v>3000.0</v>
      </c>
    </row>
    <row r="108">
      <c r="A108" s="3" t="inlineStr">
        <is>
          <t>Contribution recovered from test-stage orders (base test economics)</t>
        </is>
      </c>
      <c r="C108" s="33">
        <f>$C$107/Inputs!$E$111*Cat_UnitEcon!$N$50</f>
        <v>185.16450000000015</v>
      </c>
      <c r="D108" s="33">
        <f>$D$107/Inputs!$E$111*Cat_UnitEcon!$N$50</f>
        <v>185.16450000000015</v>
      </c>
      <c r="E108" s="33">
        <f>$E$107/Inputs!$E$111*Cat_UnitEcon!$N$50</f>
        <v>185.16450000000015</v>
      </c>
      <c r="F108" s="33">
        <f>$F$107/Inputs!$E$111*Cat_UnitEcon!$N$50</f>
        <v>185.16450000000015</v>
      </c>
      <c r="G108" s="33">
        <f>$G$107/Inputs!$E$111*Cat_UnitEcon!$N$50</f>
        <v>185.16450000000015</v>
      </c>
      <c r="H108" s="33">
        <f>$H$107/Inputs!$E$111*Cat_UnitEcon!$N$50</f>
        <v>185.16450000000015</v>
      </c>
      <c r="I108" s="33">
        <f>$I$107/Inputs!$E$113*Espresso_UnitEcon!$N$50</f>
        <v>731.1869999999999</v>
      </c>
      <c r="J108" s="33">
        <f>$J$107/Inputs!$E$113*Espresso_UnitEcon!$N$50</f>
        <v>731.1869999999999</v>
      </c>
    </row>
    <row r="109">
      <c r="A109" s="16" t="inlineStr">
        <is>
          <t>TOTAL CASH NEEDED BEFORE FIRST PRIVATE-LABEL SALE</t>
        </is>
      </c>
      <c r="C109" s="49">
        <f>$C$105+$C$106+$C$107-$C$108</f>
        <v>28830.492625000006</v>
      </c>
      <c r="D109" s="49">
        <f>$D$105+$D$106+$D$107-$D$108</f>
        <v>35518.105051000006</v>
      </c>
      <c r="E109" s="49">
        <f>$E$105+$E$106+$E$107-$E$108</f>
        <v>35518.105051000006</v>
      </c>
      <c r="F109" s="49">
        <f>$F$105+$F$106+$F$107-$F$108</f>
        <v>35518.105051000006</v>
      </c>
      <c r="G109" s="49">
        <f>$G$105+$G$106+$G$107-$G$108</f>
        <v>34170.308686799995</v>
      </c>
      <c r="H109" s="49">
        <f>$H$105+$H$106+$H$107-$H$108</f>
        <v>34170.308686799995</v>
      </c>
      <c r="I109" s="49">
        <f>$I$105+$I$106+$I$107-$I$108</f>
        <v>18649.524500000007</v>
      </c>
      <c r="J109" s="49">
        <f>$J$105+$J$106+$J$107-$J$108</f>
        <v>18649.524500000007</v>
      </c>
    </row>
    <row r="110">
      <c r="A110" s="3" t="inlineStr">
        <is>
          <t>Cash available (tier assumption)</t>
        </is>
      </c>
      <c r="C110" s="57">
        <f>Inputs!$G$186</f>
        <v>15000.0</v>
      </c>
      <c r="D110" s="57">
        <f>Inputs!$G$186</f>
        <v>15000.0</v>
      </c>
      <c r="E110" s="57">
        <f>Inputs!$G$186</f>
        <v>15000.0</v>
      </c>
      <c r="F110" s="57">
        <f>Inputs!$G$186</f>
        <v>15000.0</v>
      </c>
      <c r="G110" s="57">
        <f>Inputs!$G$186</f>
        <v>15000.0</v>
      </c>
      <c r="H110" s="57">
        <f>Inputs!$G$186</f>
        <v>15000.0</v>
      </c>
      <c r="I110" s="57">
        <f>Inputs!$G$186</f>
        <v>15000.0</v>
      </c>
      <c r="J110" s="57">
        <f>Inputs!$G$186</f>
        <v>15000.0</v>
      </c>
    </row>
    <row r="111">
      <c r="A111" s="4" t="inlineStr">
        <is>
          <t>Go/no-go gates (same definitions and thresholds as GoNoGo; gates 2-3 are test-stage only and not re-run)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3" t="inlineStr">
        <is>
          <t>Gate 1: private-label CPA ceiling (payback within 9 / 12 months) - GO threshold</t>
        </is>
      </c>
      <c r="C112" s="26">
        <f>INDEX(C339:Z339,1,Inputs!$E$160)</f>
        <v>3.620353045323763</v>
      </c>
      <c r="D112" s="26">
        <f>INDEX(C349:Z349,1,Inputs!$E$160)</f>
        <v>16.211046981149742</v>
      </c>
      <c r="E112" s="26">
        <f>INDEX(C359:Z359,1,Inputs!$E$160)</f>
        <v>18.665302462089212</v>
      </c>
      <c r="F112" s="26">
        <f>INDEX(C369:Z369,1,Inputs!$E$160)</f>
        <v>14.636302462089207</v>
      </c>
      <c r="G112" s="26">
        <f>INDEX(C379:Z379,1,Inputs!$E$160)</f>
        <v>21.196329187089223</v>
      </c>
      <c r="H112" s="26">
        <f>INDEX(C389:Z389,1,Inputs!$E$160)</f>
        <v>17.167329187089216</v>
      </c>
      <c r="I112" s="26">
        <f>INDEX(C399:Z399,1,Inputs!$E$160)</f>
        <v>26.23776554835547</v>
      </c>
      <c r="J112" s="26">
        <f>INDEX(C409:Z409,1,Inputs!$E$160)</f>
        <v>38.73468554835547</v>
      </c>
    </row>
    <row r="113">
      <c r="A113" s="3" t="inlineStr">
        <is>
          <t>Gate 1: CONDITIONAL threshold</t>
        </is>
      </c>
      <c r="C113" s="26">
        <f>MAX($C$112,INDEX(C339:Z339,1,Inputs!$E$161))</f>
        <v>3.620353045323763</v>
      </c>
      <c r="D113" s="26">
        <f>MAX($D$112,INDEX(C349:Z349,1,Inputs!$E$161))</f>
        <v>16.211046981149742</v>
      </c>
      <c r="E113" s="26">
        <f>MAX($E$112,INDEX(C359:Z359,1,Inputs!$E$161))</f>
        <v>18.665302462089212</v>
      </c>
      <c r="F113" s="26">
        <f>MAX($F$112,INDEX(C369:Z369,1,Inputs!$E$161))</f>
        <v>14.636302462089207</v>
      </c>
      <c r="G113" s="26">
        <f>MAX($G$112,INDEX(C379:Z379,1,Inputs!$E$161))</f>
        <v>21.196329187089223</v>
      </c>
      <c r="H113" s="26">
        <f>MAX($H$112,INDEX(C389:Z389,1,Inputs!$E$161))</f>
        <v>17.167329187089216</v>
      </c>
      <c r="I113" s="26">
        <f>MAX($I$112,INDEX(C399:Z399,1,Inputs!$E$161))</f>
        <v>27.155183071337706</v>
      </c>
      <c r="J113" s="26">
        <f>MAX($J$112,INDEX(C409:Z409,1,Inputs!$E$161))</f>
        <v>39.652103071337706</v>
      </c>
    </row>
    <row r="114">
      <c r="A114" s="16" t="inlineStr">
        <is>
          <t>Gate 1: model value</t>
        </is>
      </c>
      <c r="C114" s="23">
        <f>$C$21</f>
        <v>45.0</v>
      </c>
      <c r="D114" s="23">
        <f>$D$21</f>
        <v>45.0</v>
      </c>
      <c r="E114" s="23">
        <f>$E$21</f>
        <v>45.0</v>
      </c>
      <c r="F114" s="23">
        <f>$F$21</f>
        <v>29.25</v>
      </c>
      <c r="G114" s="23">
        <f>$G$21</f>
        <v>45.0</v>
      </c>
      <c r="H114" s="23">
        <f>$H$21</f>
        <v>29.25</v>
      </c>
      <c r="I114" s="23">
        <f>$I$21</f>
        <v>45.0</v>
      </c>
      <c r="J114" s="23">
        <f>$J$21</f>
        <v>45.0</v>
      </c>
    </row>
    <row r="115">
      <c r="A115" s="16" t="inlineStr">
        <is>
          <t>Gate 1: STATUS</t>
        </is>
      </c>
      <c r="C115" s="52" t="str">
        <f>IF($C$114&lt;=$C$112,"GO",IF($C$114&lt;=$C$113,"CONDITIONAL","NO-GO"))</f>
        <v>NO-GO</v>
      </c>
      <c r="D115" s="52" t="str">
        <f>IF($D$114&lt;=$D$112,"GO",IF($D$114&lt;=$D$113,"CONDITIONAL","NO-GO"))</f>
        <v>NO-GO</v>
      </c>
      <c r="E115" s="52" t="str">
        <f>IF($E$114&lt;=$E$112,"GO",IF($E$114&lt;=$E$113,"CONDITIONAL","NO-GO"))</f>
        <v>NO-GO</v>
      </c>
      <c r="F115" s="52" t="str">
        <f>IF($F$114&lt;=$F$112,"GO",IF($F$114&lt;=$F$113,"CONDITIONAL","NO-GO"))</f>
        <v>NO-GO</v>
      </c>
      <c r="G115" s="52" t="str">
        <f>IF($G$114&lt;=$G$112,"GO",IF($G$114&lt;=$G$113,"CONDITIONAL","NO-GO"))</f>
        <v>NO-GO</v>
      </c>
      <c r="H115" s="52" t="str">
        <f>IF($H$114&lt;=$H$112,"GO",IF($H$114&lt;=$H$113,"CONDITIONAL","NO-GO"))</f>
        <v>NO-GO</v>
      </c>
      <c r="I115" s="52" t="str">
        <f>IF($I$114&lt;=$I$112,"GO",IF($I$114&lt;=$I$113,"CONDITIONAL","NO-GO"))</f>
        <v>NO-GO</v>
      </c>
      <c r="J115" s="52" t="str">
        <f>IF($J$114&lt;=$J$112,"GO",IF($J$114&lt;=$J$113,"CONDITIONAL","NO-GO"))</f>
        <v>NO-GO</v>
      </c>
    </row>
    <row r="116">
      <c r="A116" s="3" t="inlineStr">
        <is>
          <t>Gate 4: first-order contribution margin before ads - GO threshold</t>
        </is>
      </c>
      <c r="C116" s="45">
        <f>Inputs!$E$164</f>
        <v>0.35</v>
      </c>
      <c r="D116" s="45">
        <f>Inputs!$E$164</f>
        <v>0.35</v>
      </c>
      <c r="E116" s="45">
        <f>Inputs!$E$164</f>
        <v>0.35</v>
      </c>
      <c r="F116" s="45">
        <f>Inputs!$E$164</f>
        <v>0.35</v>
      </c>
      <c r="G116" s="45">
        <f>Inputs!$E$164</f>
        <v>0.35</v>
      </c>
      <c r="H116" s="45">
        <f>Inputs!$E$164</f>
        <v>0.35</v>
      </c>
      <c r="I116" s="45">
        <f>Inputs!$E$164</f>
        <v>0.35</v>
      </c>
      <c r="J116" s="45">
        <f>Inputs!$E$164</f>
        <v>0.35</v>
      </c>
    </row>
    <row r="117">
      <c r="A117" s="3" t="inlineStr">
        <is>
          <t>Gate 4: CONDITIONAL threshold</t>
        </is>
      </c>
      <c r="C117" s="45">
        <f>Inputs!$E$165</f>
        <v>0.25</v>
      </c>
      <c r="D117" s="45">
        <f>Inputs!$E$165</f>
        <v>0.25</v>
      </c>
      <c r="E117" s="45">
        <f>Inputs!$E$165</f>
        <v>0.25</v>
      </c>
      <c r="F117" s="45">
        <f>Inputs!$E$165</f>
        <v>0.25</v>
      </c>
      <c r="G117" s="45">
        <f>Inputs!$E$165</f>
        <v>0.25</v>
      </c>
      <c r="H117" s="45">
        <f>Inputs!$E$165</f>
        <v>0.25</v>
      </c>
      <c r="I117" s="45">
        <f>Inputs!$E$165</f>
        <v>0.25</v>
      </c>
      <c r="J117" s="45">
        <f>Inputs!$E$165</f>
        <v>0.25</v>
      </c>
    </row>
    <row r="118">
      <c r="A118" s="16" t="inlineStr">
        <is>
          <t>Gate 4: model value</t>
        </is>
      </c>
      <c r="C118" s="25">
        <f>$C$41</f>
        <v>0.09533532822794145</v>
      </c>
      <c r="D118" s="25">
        <f>$D$41</f>
        <v>0.21145262087795838</v>
      </c>
      <c r="E118" s="25">
        <f>$E$41</f>
        <v>0.21145262087795838</v>
      </c>
      <c r="F118" s="25">
        <f>$F$41</f>
        <v>0.16108856273990968</v>
      </c>
      <c r="G118" s="25">
        <f>$G$41</f>
        <v>0.24309143376623224</v>
      </c>
      <c r="H118" s="25">
        <f>$H$41</f>
        <v>0.19272737562818354</v>
      </c>
      <c r="I118" s="25">
        <f>$I$41</f>
        <v>0.2501396501065022</v>
      </c>
      <c r="J118" s="25">
        <f>$J$41</f>
        <v>0.3449690641286258</v>
      </c>
    </row>
    <row r="119">
      <c r="A119" s="16" t="inlineStr">
        <is>
          <t>Gate 4: STATUS</t>
        </is>
      </c>
      <c r="C119" s="52" t="str">
        <f>IF($C$118&gt;=$C$116,"GO",IF($C$118&gt;=$C$117,"CONDITIONAL","NO-GO"))</f>
        <v>NO-GO</v>
      </c>
      <c r="D119" s="52" t="str">
        <f>IF($D$118&gt;=$D$116,"GO",IF($D$118&gt;=$D$117,"CONDITIONAL","NO-GO"))</f>
        <v>NO-GO</v>
      </c>
      <c r="E119" s="52" t="str">
        <f>IF($E$118&gt;=$E$116,"GO",IF($E$118&gt;=$E$117,"CONDITIONAL","NO-GO"))</f>
        <v>NO-GO</v>
      </c>
      <c r="F119" s="52" t="str">
        <f>IF($F$118&gt;=$F$116,"GO",IF($F$118&gt;=$F$117,"CONDITIONAL","NO-GO"))</f>
        <v>NO-GO</v>
      </c>
      <c r="G119" s="52" t="str">
        <f>IF($G$118&gt;=$G$116,"GO",IF($G$118&gt;=$G$117,"CONDITIONAL","NO-GO"))</f>
        <v>NO-GO</v>
      </c>
      <c r="H119" s="52" t="str">
        <f>IF($H$118&gt;=$H$116,"GO",IF($H$118&gt;=$H$117,"CONDITIONAL","NO-GO"))</f>
        <v>NO-GO</v>
      </c>
      <c r="I119" s="52" t="str">
        <f>IF($I$118&gt;=$I$116,"GO",IF($I$118&gt;=$I$117,"CONDITIONAL","NO-GO"))</f>
        <v>CONDITIONAL</v>
      </c>
      <c r="J119" s="52" t="str">
        <f>IF($J$118&gt;=$J$116,"GO",IF($J$118&gt;=$J$117,"CONDITIONAL","NO-GO"))</f>
        <v>CONDITIONAL</v>
      </c>
    </row>
    <row r="120">
      <c r="A120" s="3" t="inlineStr">
        <is>
          <t>Gate 5: first-order contribution after CAC - GO threshold</t>
        </is>
      </c>
      <c r="C120" s="39">
        <f>Inputs!$E$166</f>
        <v>0.0</v>
      </c>
      <c r="D120" s="39">
        <f>Inputs!$E$166</f>
        <v>0.0</v>
      </c>
      <c r="E120" s="39">
        <f>Inputs!$E$166</f>
        <v>0.0</v>
      </c>
      <c r="F120" s="39">
        <f>Inputs!$E$166</f>
        <v>0.0</v>
      </c>
      <c r="G120" s="39">
        <f>Inputs!$E$166</f>
        <v>0.0</v>
      </c>
      <c r="H120" s="39">
        <f>Inputs!$E$166</f>
        <v>0.0</v>
      </c>
      <c r="I120" s="39">
        <f>Inputs!$E$166</f>
        <v>0.0</v>
      </c>
      <c r="J120" s="39">
        <f>Inputs!$E$166</f>
        <v>0.0</v>
      </c>
    </row>
    <row r="121">
      <c r="A121" s="3" t="inlineStr">
        <is>
          <t>Gate 5: CONDITIONAL threshold</t>
        </is>
      </c>
      <c r="C121" s="39">
        <f>Inputs!$E$167</f>
        <v>-10.0</v>
      </c>
      <c r="D121" s="39">
        <f>Inputs!$E$167</f>
        <v>-10.0</v>
      </c>
      <c r="E121" s="39">
        <f>Inputs!$E$167</f>
        <v>-10.0</v>
      </c>
      <c r="F121" s="39">
        <f>Inputs!$E$167</f>
        <v>-10.0</v>
      </c>
      <c r="G121" s="39">
        <f>Inputs!$E$167</f>
        <v>-10.0</v>
      </c>
      <c r="H121" s="39">
        <f>Inputs!$E$167</f>
        <v>-10.0</v>
      </c>
      <c r="I121" s="39">
        <f>Inputs!$E$167</f>
        <v>-10.0</v>
      </c>
      <c r="J121" s="39">
        <f>Inputs!$E$167</f>
        <v>-10.0</v>
      </c>
    </row>
    <row r="122">
      <c r="A122" s="16" t="inlineStr">
        <is>
          <t>Gate 5: model value</t>
        </is>
      </c>
      <c r="C122" s="23">
        <f>$C$42</f>
        <v>-40.000803675</v>
      </c>
      <c r="D122" s="23">
        <f>$D$42</f>
        <v>-28.084313675000004</v>
      </c>
      <c r="E122" s="23">
        <f>$E$42</f>
        <v>-28.084313675000004</v>
      </c>
      <c r="F122" s="23">
        <f>$F$42</f>
        <v>-16.363313675000008</v>
      </c>
      <c r="G122" s="23">
        <f>$G$42</f>
        <v>-25.553286949999993</v>
      </c>
      <c r="H122" s="23">
        <f>$H$42</f>
        <v>-13.832286949999997</v>
      </c>
      <c r="I122" s="23">
        <f>$I$42</f>
        <v>-23.8918747</v>
      </c>
      <c r="J122" s="23">
        <f>$J$42</f>
        <v>-11.3949547</v>
      </c>
    </row>
    <row r="123">
      <c r="A123" s="16" t="inlineStr">
        <is>
          <t>Gate 5: STATUS</t>
        </is>
      </c>
      <c r="C123" s="52" t="str">
        <f>IF($C$122&gt;=$C$120,"GO",IF($C$122&gt;=$C$121,"CONDITIONAL","NO-GO"))</f>
        <v>NO-GO</v>
      </c>
      <c r="D123" s="52" t="str">
        <f>IF($D$122&gt;=$D$120,"GO",IF($D$122&gt;=$D$121,"CONDITIONAL","NO-GO"))</f>
        <v>NO-GO</v>
      </c>
      <c r="E123" s="52" t="str">
        <f>IF($E$122&gt;=$E$120,"GO",IF($E$122&gt;=$E$121,"CONDITIONAL","NO-GO"))</f>
        <v>NO-GO</v>
      </c>
      <c r="F123" s="52" t="str">
        <f>IF($F$122&gt;=$F$120,"GO",IF($F$122&gt;=$F$121,"CONDITIONAL","NO-GO"))</f>
        <v>NO-GO</v>
      </c>
      <c r="G123" s="52" t="str">
        <f>IF($G$122&gt;=$G$120,"GO",IF($G$122&gt;=$G$121,"CONDITIONAL","NO-GO"))</f>
        <v>NO-GO</v>
      </c>
      <c r="H123" s="52" t="str">
        <f>IF($H$122&gt;=$H$120,"GO",IF($H$122&gt;=$H$121,"CONDITIONAL","NO-GO"))</f>
        <v>NO-GO</v>
      </c>
      <c r="I123" s="52" t="str">
        <f>IF($I$122&gt;=$I$120,"GO",IF($I$122&gt;=$I$121,"CONDITIONAL","NO-GO"))</f>
        <v>NO-GO</v>
      </c>
      <c r="J123" s="52" t="str">
        <f>IF($J$122&gt;=$J$120,"GO",IF($J$122&gt;=$J$121,"CONDITIONAL","NO-GO"))</f>
        <v>NO-GO</v>
      </c>
    </row>
    <row r="124">
      <c r="A124" s="3" t="inlineStr">
        <is>
          <t>Gate 6: payback month (99 = none) - GO threshold</t>
        </is>
      </c>
      <c r="C124" s="12">
        <f>Inputs!$E$160</f>
        <v>9.0</v>
      </c>
      <c r="D124" s="12">
        <f>Inputs!$E$160</f>
        <v>9.0</v>
      </c>
      <c r="E124" s="12">
        <f>Inputs!$E$160</f>
        <v>9.0</v>
      </c>
      <c r="F124" s="12">
        <f>Inputs!$E$160</f>
        <v>9.0</v>
      </c>
      <c r="G124" s="12">
        <f>Inputs!$E$160</f>
        <v>9.0</v>
      </c>
      <c r="H124" s="12">
        <f>Inputs!$E$160</f>
        <v>9.0</v>
      </c>
      <c r="I124" s="12">
        <f>Inputs!$E$160</f>
        <v>9.0</v>
      </c>
      <c r="J124" s="12">
        <f>Inputs!$E$160</f>
        <v>9.0</v>
      </c>
    </row>
    <row r="125">
      <c r="A125" s="3" t="inlineStr">
        <is>
          <t>Gate 6: CONDITIONAL threshold</t>
        </is>
      </c>
      <c r="C125" s="12">
        <f>Inputs!$E$161</f>
        <v>12.0</v>
      </c>
      <c r="D125" s="12">
        <f>Inputs!$E$161</f>
        <v>12.0</v>
      </c>
      <c r="E125" s="12">
        <f>Inputs!$E$161</f>
        <v>12.0</v>
      </c>
      <c r="F125" s="12">
        <f>Inputs!$E$161</f>
        <v>12.0</v>
      </c>
      <c r="G125" s="12">
        <f>Inputs!$E$161</f>
        <v>12.0</v>
      </c>
      <c r="H125" s="12">
        <f>Inputs!$E$161</f>
        <v>12.0</v>
      </c>
      <c r="I125" s="12">
        <f>Inputs!$E$161</f>
        <v>12.0</v>
      </c>
      <c r="J125" s="12">
        <f>Inputs!$E$161</f>
        <v>12.0</v>
      </c>
    </row>
    <row r="126">
      <c r="A126" s="16" t="inlineStr">
        <is>
          <t>Gate 6: model value</t>
        </is>
      </c>
      <c r="C126" s="21">
        <f>$C$80</f>
        <v>99.0</v>
      </c>
      <c r="D126" s="21">
        <f>$D$80</f>
        <v>99.0</v>
      </c>
      <c r="E126" s="21">
        <f>$E$80</f>
        <v>99.0</v>
      </c>
      <c r="F126" s="21">
        <f>$F$80</f>
        <v>99.0</v>
      </c>
      <c r="G126" s="21">
        <f>$G$80</f>
        <v>99.0</v>
      </c>
      <c r="H126" s="21">
        <f>$H$80</f>
        <v>99.0</v>
      </c>
      <c r="I126" s="21">
        <f>$I$80</f>
        <v>99.0</v>
      </c>
      <c r="J126" s="21">
        <f>$J$80</f>
        <v>99.0</v>
      </c>
    </row>
    <row r="127">
      <c r="A127" s="16" t="inlineStr">
        <is>
          <t>Gate 6: STATUS</t>
        </is>
      </c>
      <c r="C127" s="52" t="str">
        <f>IF($C$126&lt;=$C$124,"GO",IF($C$126&lt;=$C$125,"CONDITIONAL","NO-GO"))</f>
        <v>NO-GO</v>
      </c>
      <c r="D127" s="52" t="str">
        <f>IF($D$126&lt;=$D$124,"GO",IF($D$126&lt;=$D$125,"CONDITIONAL","NO-GO"))</f>
        <v>NO-GO</v>
      </c>
      <c r="E127" s="52" t="str">
        <f>IF($E$126&lt;=$E$124,"GO",IF($E$126&lt;=$E$125,"CONDITIONAL","NO-GO"))</f>
        <v>NO-GO</v>
      </c>
      <c r="F127" s="52" t="str">
        <f>IF($F$126&lt;=$F$124,"GO",IF($F$126&lt;=$F$125,"CONDITIONAL","NO-GO"))</f>
        <v>NO-GO</v>
      </c>
      <c r="G127" s="52" t="str">
        <f>IF($G$126&lt;=$G$124,"GO",IF($G$126&lt;=$G$125,"CONDITIONAL","NO-GO"))</f>
        <v>NO-GO</v>
      </c>
      <c r="H127" s="52" t="str">
        <f>IF($H$126&lt;=$H$124,"GO",IF($H$126&lt;=$H$125,"CONDITIONAL","NO-GO"))</f>
        <v>NO-GO</v>
      </c>
      <c r="I127" s="52" t="str">
        <f>IF($I$126&lt;=$I$124,"GO",IF($I$126&lt;=$I$125,"CONDITIONAL","NO-GO"))</f>
        <v>NO-GO</v>
      </c>
      <c r="J127" s="52" t="str">
        <f>IF($J$126&lt;=$J$124,"GO",IF($J$126&lt;=$J$125,"CONDITIONAL","NO-GO"))</f>
        <v>NO-GO</v>
      </c>
    </row>
    <row r="128">
      <c r="A128" s="3" t="inlineStr">
        <is>
          <t>Gate 7: 12-month LTV:CAC - GO threshold</t>
        </is>
      </c>
      <c r="C128" s="38">
        <f>Inputs!$E$162</f>
        <v>1.5</v>
      </c>
      <c r="D128" s="38">
        <f>Inputs!$E$162</f>
        <v>1.5</v>
      </c>
      <c r="E128" s="38">
        <f>Inputs!$E$162</f>
        <v>1.5</v>
      </c>
      <c r="F128" s="38">
        <f>Inputs!$E$162</f>
        <v>1.5</v>
      </c>
      <c r="G128" s="38">
        <f>Inputs!$E$162</f>
        <v>1.5</v>
      </c>
      <c r="H128" s="38">
        <f>Inputs!$E$162</f>
        <v>1.5</v>
      </c>
      <c r="I128" s="38">
        <f>Inputs!$E$162</f>
        <v>1.5</v>
      </c>
      <c r="J128" s="38">
        <f>Inputs!$E$162</f>
        <v>1.5</v>
      </c>
    </row>
    <row r="129">
      <c r="A129" s="3" t="inlineStr">
        <is>
          <t>Gate 7: CONDITIONAL threshold</t>
        </is>
      </c>
      <c r="C129" s="38">
        <f>Inputs!$E$163</f>
        <v>1.2</v>
      </c>
      <c r="D129" s="38">
        <f>Inputs!$E$163</f>
        <v>1.2</v>
      </c>
      <c r="E129" s="38">
        <f>Inputs!$E$163</f>
        <v>1.2</v>
      </c>
      <c r="F129" s="38">
        <f>Inputs!$E$163</f>
        <v>1.2</v>
      </c>
      <c r="G129" s="38">
        <f>Inputs!$E$163</f>
        <v>1.2</v>
      </c>
      <c r="H129" s="38">
        <f>Inputs!$E$163</f>
        <v>1.2</v>
      </c>
      <c r="I129" s="38">
        <f>Inputs!$E$163</f>
        <v>1.2</v>
      </c>
      <c r="J129" s="38">
        <f>Inputs!$E$163</f>
        <v>1.2</v>
      </c>
    </row>
    <row r="130">
      <c r="A130" s="16" t="inlineStr">
        <is>
          <t>Gate 7: model value</t>
        </is>
      </c>
      <c r="C130" s="36">
        <f>$C$78</f>
        <v>0.07042857745996962</v>
      </c>
      <c r="D130" s="36">
        <f>$D$78</f>
        <v>0.34869287576721364</v>
      </c>
      <c r="E130" s="36">
        <f>$E$78</f>
        <v>0.41478449915753807</v>
      </c>
      <c r="F130" s="36">
        <f>$F$78</f>
        <v>0.5003864089603147</v>
      </c>
      <c r="G130" s="36">
        <f>$G$78</f>
        <v>0.4710295374908716</v>
      </c>
      <c r="H130" s="36">
        <f>$H$78</f>
        <v>0.5869172371654433</v>
      </c>
      <c r="I130" s="36">
        <f>$I$78</f>
        <v>0.6034485126963934</v>
      </c>
      <c r="J130" s="36">
        <f>$J$78</f>
        <v>0.8811578460297268</v>
      </c>
    </row>
    <row r="131">
      <c r="A131" s="16" t="inlineStr">
        <is>
          <t>Gate 7: STATUS</t>
        </is>
      </c>
      <c r="C131" s="52" t="str">
        <f>IF($C$130&gt;=$C$128,"GO",IF($C$130&gt;=$C$129,"CONDITIONAL","NO-GO"))</f>
        <v>NO-GO</v>
      </c>
      <c r="D131" s="52" t="str">
        <f>IF($D$130&gt;=$D$128,"GO",IF($D$130&gt;=$D$129,"CONDITIONAL","NO-GO"))</f>
        <v>NO-GO</v>
      </c>
      <c r="E131" s="52" t="str">
        <f>IF($E$130&gt;=$E$128,"GO",IF($E$130&gt;=$E$129,"CONDITIONAL","NO-GO"))</f>
        <v>NO-GO</v>
      </c>
      <c r="F131" s="52" t="str">
        <f>IF($F$130&gt;=$F$128,"GO",IF($F$130&gt;=$F$129,"CONDITIONAL","NO-GO"))</f>
        <v>NO-GO</v>
      </c>
      <c r="G131" s="52" t="str">
        <f>IF($G$130&gt;=$G$128,"GO",IF($G$130&gt;=$G$129,"CONDITIONAL","NO-GO"))</f>
        <v>NO-GO</v>
      </c>
      <c r="H131" s="52" t="str">
        <f>IF($H$130&gt;=$H$128,"GO",IF($H$130&gt;=$H$129,"CONDITIONAL","NO-GO"))</f>
        <v>NO-GO</v>
      </c>
      <c r="I131" s="52" t="str">
        <f>IF($I$130&gt;=$I$128,"GO",IF($I$130&gt;=$I$129,"CONDITIONAL","NO-GO"))</f>
        <v>NO-GO</v>
      </c>
      <c r="J131" s="52" t="str">
        <f>IF($J$130&gt;=$J$128,"GO",IF($J$130&gt;=$J$129,"CONDITIONAL","NO-GO"))</f>
        <v>NO-GO</v>
      </c>
    </row>
    <row r="132">
      <c r="A132" s="3" t="inlineStr">
        <is>
          <t>Gate 8: contribution per subscription renewal - GO threshold</t>
        </is>
      </c>
      <c r="C132" s="39">
        <f>Inputs!$E$168</f>
        <v>3.0</v>
      </c>
      <c r="D132" s="39">
        <f>Inputs!$E$168</f>
        <v>3.0</v>
      </c>
      <c r="E132" s="39">
        <f>Inputs!$E$168</f>
        <v>3.0</v>
      </c>
      <c r="F132" s="39">
        <f>Inputs!$E$168</f>
        <v>3.0</v>
      </c>
      <c r="G132" s="39">
        <f>Inputs!$E$168</f>
        <v>3.0</v>
      </c>
      <c r="H132" s="39">
        <f>Inputs!$E$168</f>
        <v>3.0</v>
      </c>
      <c r="I132" s="39">
        <f>Inputs!$E$168</f>
        <v>3.0</v>
      </c>
      <c r="J132" s="39">
        <f>Inputs!$E$168</f>
        <v>3.0</v>
      </c>
    </row>
    <row r="133">
      <c r="A133" s="3" t="inlineStr">
        <is>
          <t>Gate 8: CONDITIONAL threshold</t>
        </is>
      </c>
      <c r="C133" s="39">
        <f>Inputs!$E$169</f>
        <v>0.0</v>
      </c>
      <c r="D133" s="39">
        <f>Inputs!$E$169</f>
        <v>0.0</v>
      </c>
      <c r="E133" s="39">
        <f>Inputs!$E$169</f>
        <v>0.0</v>
      </c>
      <c r="F133" s="39">
        <f>Inputs!$E$169</f>
        <v>0.0</v>
      </c>
      <c r="G133" s="39">
        <f>Inputs!$E$169</f>
        <v>0.0</v>
      </c>
      <c r="H133" s="39">
        <f>Inputs!$E$169</f>
        <v>0.0</v>
      </c>
      <c r="I133" s="39">
        <f>Inputs!$E$169</f>
        <v>0.0</v>
      </c>
      <c r="J133" s="39">
        <f>Inputs!$E$169</f>
        <v>0.0</v>
      </c>
    </row>
    <row r="134">
      <c r="A134" s="16" t="inlineStr">
        <is>
          <t>Gate 8: model value</t>
        </is>
      </c>
      <c r="C134" s="23">
        <f>$C$53</f>
        <v>-3.419322000000002</v>
      </c>
      <c r="D134" s="23">
        <f>$D$53</f>
        <v>-3.419322000000002</v>
      </c>
      <c r="E134" s="23">
        <f>$E$53</f>
        <v>4.569819999999998</v>
      </c>
      <c r="F134" s="23">
        <f>$F$53</f>
        <v>4.569819999999998</v>
      </c>
      <c r="G134" s="23">
        <f>$G$53</f>
        <v>4.569819999999998</v>
      </c>
      <c r="H134" s="23">
        <f>$H$53</f>
        <v>4.569819999999998</v>
      </c>
      <c r="I134" s="23">
        <f>$I$53</f>
        <v>4.384378</v>
      </c>
      <c r="J134" s="23">
        <f>$J$53</f>
        <v>4.384378</v>
      </c>
    </row>
    <row r="135">
      <c r="A135" s="16" t="inlineStr">
        <is>
          <t>Gate 8: STATUS</t>
        </is>
      </c>
      <c r="C135" s="52" t="str">
        <f>IF($C$134&gt;=$C$132,"GO",IF($C$134&gt;=$C$133,"CONDITIONAL","NO-GO"))</f>
        <v>NO-GO</v>
      </c>
      <c r="D135" s="52" t="str">
        <f>IF($D$134&gt;=$D$132,"GO",IF($D$134&gt;=$D$133,"CONDITIONAL","NO-GO"))</f>
        <v>NO-GO</v>
      </c>
      <c r="E135" s="52" t="str">
        <f>IF($E$134&gt;=$E$132,"GO",IF($E$134&gt;=$E$133,"CONDITIONAL","NO-GO"))</f>
        <v>GO</v>
      </c>
      <c r="F135" s="52" t="str">
        <f>IF($F$134&gt;=$F$132,"GO",IF($F$134&gt;=$F$133,"CONDITIONAL","NO-GO"))</f>
        <v>GO</v>
      </c>
      <c r="G135" s="52" t="str">
        <f>IF($G$134&gt;=$G$132,"GO",IF($G$134&gt;=$G$133,"CONDITIONAL","NO-GO"))</f>
        <v>GO</v>
      </c>
      <c r="H135" s="52" t="str">
        <f>IF($H$134&gt;=$H$132,"GO",IF($H$134&gt;=$H$133,"CONDITIONAL","NO-GO"))</f>
        <v>GO</v>
      </c>
      <c r="I135" s="52" t="str">
        <f>IF($I$134&gt;=$I$132,"GO",IF($I$134&gt;=$I$133,"CONDITIONAL","NO-GO"))</f>
        <v>GO</v>
      </c>
      <c r="J135" s="52" t="str">
        <f>IF($J$134&gt;=$J$132,"GO",IF($J$134&gt;=$J$133,"CONDITIONAL","NO-GO"))</f>
        <v>GO</v>
      </c>
    </row>
    <row r="136">
      <c r="A136" s="3" t="inlineStr">
        <is>
          <t>Gate 9: minimum subscription price per shipment - GO threshold</t>
        </is>
      </c>
      <c r="C136" s="26">
        <f>(Inputs!$E$168+($C$48+$C$49+$C$50+$C$52*Inputs!$E$93+Inputs!$E$101+Inputs!$E$108*Inputs!$E$109))/(1-$C$51-Inputs!$E$100-Inputs!$E$108)</f>
        <v>21.99175365344468</v>
      </c>
      <c r="D136" s="26">
        <f>(Inputs!$E$168+($D$48+$D$49+$D$50+$D$52*Inputs!$E$93+Inputs!$E$101+Inputs!$E$108*Inputs!$E$109))/(1-$D$51-Inputs!$E$100-Inputs!$E$108)</f>
        <v>21.99175365344468</v>
      </c>
      <c r="E136" s="26">
        <f>(Inputs!$E$168+($E$48+$E$49+$E$50+$E$52*Inputs!$E$93+Inputs!$E$101+Inputs!$E$108*Inputs!$E$109))/(1-$E$51-Inputs!$E$100-Inputs!$E$108)</f>
        <v>28.351356993736957</v>
      </c>
      <c r="F136" s="26">
        <f>(Inputs!$E$168+($F$48+$F$49+$F$50+$F$52*Inputs!$E$93+Inputs!$E$101+Inputs!$E$108*Inputs!$E$109))/(1-$F$51-Inputs!$E$100-Inputs!$E$108)</f>
        <v>28.351356993736957</v>
      </c>
      <c r="G136" s="26">
        <f>(Inputs!$E$168+($G$48+$G$49+$G$50+$G$52*Inputs!$E$93+Inputs!$E$101+Inputs!$E$108*Inputs!$E$109))/(1-$G$51-Inputs!$E$100-Inputs!$E$108)</f>
        <v>28.351356993736957</v>
      </c>
      <c r="H136" s="26">
        <f>(Inputs!$E$168+($H$48+$H$49+$H$50+$H$52*Inputs!$E$93+Inputs!$E$101+Inputs!$E$108*Inputs!$E$109))/(1-$H$51-Inputs!$E$100-Inputs!$E$108)</f>
        <v>28.351356993736957</v>
      </c>
      <c r="I136" s="26">
        <f>(Inputs!$E$168+($I$48+$I$49+$I$50+$I$52*Inputs!$E$93+Inputs!$E$101+Inputs!$E$108*Inputs!$E$109))/(1-$I$51-Inputs!$E$100-Inputs!$E$108)</f>
        <v>34.545929018789145</v>
      </c>
      <c r="J136" s="26">
        <f>(Inputs!$E$168+($J$48+$J$49+$J$50+$J$52*Inputs!$E$93+Inputs!$E$101+Inputs!$E$108*Inputs!$E$109))/(1-$J$51-Inputs!$E$100-Inputs!$E$108)</f>
        <v>34.545929018789145</v>
      </c>
    </row>
    <row r="137">
      <c r="A137" s="3" t="inlineStr">
        <is>
          <t>Gate 9: CONDITIONAL threshold</t>
        </is>
      </c>
      <c r="C137" s="26">
        <f>(Inputs!$E$169+($C$48+$C$49+$C$50+$C$52*Inputs!$E$93+Inputs!$E$101+Inputs!$E$108*Inputs!$E$109))/(1-$C$51-Inputs!$E$100-Inputs!$E$108)</f>
        <v>18.86022964509395</v>
      </c>
      <c r="D137" s="26">
        <f>(Inputs!$E$169+($D$48+$D$49+$D$50+$D$52*Inputs!$E$93+Inputs!$E$101+Inputs!$E$108*Inputs!$E$109))/(1-$D$51-Inputs!$E$100-Inputs!$E$108)</f>
        <v>18.86022964509395</v>
      </c>
      <c r="E137" s="26">
        <f>(Inputs!$E$169+($E$48+$E$49+$E$50+$E$52*Inputs!$E$93+Inputs!$E$101+Inputs!$E$108*Inputs!$E$109))/(1-$E$51-Inputs!$E$100-Inputs!$E$108)</f>
        <v>25.219832985386226</v>
      </c>
      <c r="F137" s="26">
        <f>(Inputs!$E$169+($F$48+$F$49+$F$50+$F$52*Inputs!$E$93+Inputs!$E$101+Inputs!$E$108*Inputs!$E$109))/(1-$F$51-Inputs!$E$100-Inputs!$E$108)</f>
        <v>25.219832985386226</v>
      </c>
      <c r="G137" s="26">
        <f>(Inputs!$E$169+($G$48+$G$49+$G$50+$G$52*Inputs!$E$93+Inputs!$E$101+Inputs!$E$108*Inputs!$E$109))/(1-$G$51-Inputs!$E$100-Inputs!$E$108)</f>
        <v>25.219832985386226</v>
      </c>
      <c r="H137" s="26">
        <f>(Inputs!$E$169+($H$48+$H$49+$H$50+$H$52*Inputs!$E$93+Inputs!$E$101+Inputs!$E$108*Inputs!$E$109))/(1-$H$51-Inputs!$E$100-Inputs!$E$108)</f>
        <v>25.219832985386226</v>
      </c>
      <c r="I137" s="26">
        <f>(Inputs!$E$169+($I$48+$I$49+$I$50+$I$52*Inputs!$E$93+Inputs!$E$101+Inputs!$E$108*Inputs!$E$109))/(1-$I$51-Inputs!$E$100-Inputs!$E$108)</f>
        <v>31.41440501043842</v>
      </c>
      <c r="J137" s="26">
        <f>(Inputs!$E$169+($J$48+$J$49+$J$50+$J$52*Inputs!$E$93+Inputs!$E$101+Inputs!$E$108*Inputs!$E$109))/(1-$J$51-Inputs!$E$100-Inputs!$E$108)</f>
        <v>31.41440501043842</v>
      </c>
    </row>
    <row r="138">
      <c r="A138" s="16" t="inlineStr">
        <is>
          <t>Gate 9: model value</t>
        </is>
      </c>
      <c r="C138" s="23">
        <f>$C$46</f>
        <v>15.290999999999999</v>
      </c>
      <c r="D138" s="23">
        <f>$D$46</f>
        <v>15.290999999999999</v>
      </c>
      <c r="E138" s="23">
        <f>$E$46</f>
        <v>29.99</v>
      </c>
      <c r="F138" s="23">
        <f>$F$46</f>
        <v>29.99</v>
      </c>
      <c r="G138" s="23">
        <f>$G$46</f>
        <v>29.99</v>
      </c>
      <c r="H138" s="23">
        <f>$H$46</f>
        <v>29.99</v>
      </c>
      <c r="I138" s="23">
        <f>$I$46</f>
        <v>35.991</v>
      </c>
      <c r="J138" s="23">
        <f>$J$46</f>
        <v>35.991</v>
      </c>
    </row>
    <row r="139">
      <c r="A139" s="16" t="inlineStr">
        <is>
          <t>Gate 9: STATUS</t>
        </is>
      </c>
      <c r="C139" s="52" t="str">
        <f>IF($C$138&gt;=$C$136,"GO",IF($C$138&gt;=$C$137,"CONDITIONAL","NO-GO"))</f>
        <v>NO-GO</v>
      </c>
      <c r="D139" s="52" t="str">
        <f>IF($D$138&gt;=$D$136,"GO",IF($D$138&gt;=$D$137,"CONDITIONAL","NO-GO"))</f>
        <v>NO-GO</v>
      </c>
      <c r="E139" s="52" t="str">
        <f>IF($E$138&gt;=$E$136,"GO",IF($E$138&gt;=$E$137,"CONDITIONAL","NO-GO"))</f>
        <v>GO</v>
      </c>
      <c r="F139" s="52" t="str">
        <f>IF($F$138&gt;=$F$136,"GO",IF($F$138&gt;=$F$137,"CONDITIONAL","NO-GO"))</f>
        <v>GO</v>
      </c>
      <c r="G139" s="52" t="str">
        <f>IF($G$138&gt;=$G$136,"GO",IF($G$138&gt;=$G$137,"CONDITIONAL","NO-GO"))</f>
        <v>GO</v>
      </c>
      <c r="H139" s="52" t="str">
        <f>IF($H$138&gt;=$H$136,"GO",IF($H$138&gt;=$H$137,"CONDITIONAL","NO-GO"))</f>
        <v>GO</v>
      </c>
      <c r="I139" s="52" t="str">
        <f>IF($I$138&gt;=$I$136,"GO",IF($I$138&gt;=$I$137,"CONDITIONAL","NO-GO"))</f>
        <v>GO</v>
      </c>
      <c r="J139" s="52" t="str">
        <f>IF($J$138&gt;=$J$136,"GO",IF($J$138&gt;=$J$137,"CONDITIONAL","NO-GO"))</f>
        <v>GO</v>
      </c>
    </row>
    <row r="140">
      <c r="A140" s="3" t="inlineStr">
        <is>
          <t>Gate 10: minimum attach for 12-month LTV:CAC &gt;= GO - GO threshold</t>
        </is>
      </c>
      <c r="C140" s="34" t="str">
        <f>IF(($C$43+$C$82-$C$44-$C$60*$C$84)&lt;=0,"Not achievable",MAX(0,(Inputs!$E$162*$C$21-$C$44-$C$60*$C$84)/($C$43+$C$82-$C$44-$C$60*$C$84)))</f>
        <v>Not achievable</v>
      </c>
      <c r="D140" s="34" t="str">
        <f>IF(($D$43+$D$82-$D$44-$D$60*$D$84)&lt;=0,"Not achievable",MAX(0,(Inputs!$E$162*$D$21-$D$44-$D$60*$D$84)/($D$43+$D$82-$D$44-$D$60*$D$84)))</f>
        <v>Not achievable</v>
      </c>
      <c r="E140" s="34">
        <f>IF(($E$43+$E$82-$E$44-$E$60*$E$84)&lt;=0,"Not achievable",MAX(0,(Inputs!$E$162*$E$21-$E$44-$E$60*$E$84)/($E$43+$E$82-$E$44-$E$60*$E$84)))</f>
        <v>37.64243622678007</v>
      </c>
      <c r="F140" s="34">
        <f>IF(($F$43+$F$82-$F$44-$F$60*$F$84)&lt;=0,"Not achievable",MAX(0,(Inputs!$E$162*$F$21-$F$44-$F$60*$F$84)/($F$43+$F$82-$F$44-$F$60*$F$84)))</f>
        <v>22.617832465686107</v>
      </c>
      <c r="G140" s="34">
        <f>IF(($G$43+$G$82-$G$44-$G$60*$G$84)&lt;=0,"Not achievable",MAX(0,(Inputs!$E$162*$G$21-$G$44-$G$60*$G$84)/($G$43+$G$82-$G$44-$G$60*$G$84)))</f>
        <v>35.701852758119905</v>
      </c>
      <c r="H140" s="34">
        <f>IF(($H$43+$H$82-$H$44-$H$60*$H$84)&lt;=0,"Not achievable",MAX(0,(Inputs!$E$162*$H$21-$H$44-$H$60*$H$84)/($H$43+$H$82-$H$44-$H$60*$H$84)))</f>
        <v>20.67724899702591</v>
      </c>
      <c r="I140" s="34">
        <f>IF(($I$43+$I$82-$I$44-$I$60*$I$84)&lt;=0,"Not achievable",MAX(0,(Inputs!$E$162*$I$21-$I$44-$I$60*$I$84)/($I$43+$I$82-$I$44-$I$60*$I$84)))</f>
        <v>1.5211888868975028</v>
      </c>
      <c r="J140" s="34">
        <f>IF(($J$43+$J$82-$J$44-$J$60*$J$84)&lt;=0,"Not achievable",MAX(0,(Inputs!$E$162*$J$21-$J$44-$J$60*$J$84)/($J$43+$J$82-$J$44-$J$60*$J$84)))</f>
        <v>1.0964592901627759</v>
      </c>
    </row>
    <row r="141">
      <c r="A141" s="3" t="inlineStr">
        <is>
          <t>Gate 10: CONDITIONAL threshold</t>
        </is>
      </c>
      <c r="C141" s="34" t="str">
        <f>IF(($C$43+$C$82-$C$44-$C$60*$C$84)&lt;=0,"Not achievable",MAX(0,(Inputs!$E$162*$C$21-$C$44-$C$60*$C$84)/($C$43+$C$82-$C$44-$C$60*$C$84)))</f>
        <v>Not achievable</v>
      </c>
      <c r="D141" s="34" t="str">
        <f>IF(($D$43+$D$82-$D$44-$D$60*$D$84)&lt;=0,"Not achievable",MAX(0,(Inputs!$E$162*$D$21-$D$44-$D$60*$D$84)/($D$43+$D$82-$D$44-$D$60*$D$84)))</f>
        <v>Not achievable</v>
      </c>
      <c r="E141" s="34">
        <f>IF(($E$43+$E$82-$E$44-$E$60*$E$84)&lt;=0,"Not achievable",MAX(0,(Inputs!$E$162*$E$21-$E$44-$E$60*$E$84)/($E$43+$E$82-$E$44-$E$60*$E$84)))</f>
        <v>37.64243622678007</v>
      </c>
      <c r="F141" s="34">
        <f>IF(($F$43+$F$82-$F$44-$F$60*$F$84)&lt;=0,"Not achievable",MAX(0,(Inputs!$E$162*$F$21-$F$44-$F$60*$F$84)/($F$43+$F$82-$F$44-$F$60*$F$84)))</f>
        <v>22.617832465686107</v>
      </c>
      <c r="G141" s="34">
        <f>IF(($G$43+$G$82-$G$44-$G$60*$G$84)&lt;=0,"Not achievable",MAX(0,(Inputs!$E$162*$G$21-$G$44-$G$60*$G$84)/($G$43+$G$82-$G$44-$G$60*$G$84)))</f>
        <v>35.701852758119905</v>
      </c>
      <c r="H141" s="34">
        <f>IF(($H$43+$H$82-$H$44-$H$60*$H$84)&lt;=0,"Not achievable",MAX(0,(Inputs!$E$162*$H$21-$H$44-$H$60*$H$84)/($H$43+$H$82-$H$44-$H$60*$H$84)))</f>
        <v>20.67724899702591</v>
      </c>
      <c r="I141" s="34">
        <f>IF(($I$43+$I$82-$I$44-$I$60*$I$84)&lt;=0,"Not achievable",MAX(0,(Inputs!$E$162*$I$21-$I$44-$I$60*$I$84)/($I$43+$I$82-$I$44-$I$60*$I$84)))</f>
        <v>1.5211888868975028</v>
      </c>
      <c r="J141" s="34">
        <f>IF(($J$43+$J$82-$J$44-$J$60*$J$84)&lt;=0,"Not achievable",MAX(0,(Inputs!$E$162*$J$21-$J$44-$J$60*$J$84)/($J$43+$J$82-$J$44-$J$60*$J$84)))</f>
        <v>1.0964592901627759</v>
      </c>
    </row>
    <row r="142">
      <c r="A142" s="16" t="inlineStr">
        <is>
          <t>Gate 10: model value</t>
        </is>
      </c>
      <c r="C142" s="25">
        <f>$C$59</f>
        <v>0.2</v>
      </c>
      <c r="D142" s="25">
        <f>$D$59</f>
        <v>0.2</v>
      </c>
      <c r="E142" s="25">
        <f>$E$59</f>
        <v>0.2</v>
      </c>
      <c r="F142" s="25">
        <f>$F$59</f>
        <v>0.2</v>
      </c>
      <c r="G142" s="25">
        <f>$G$59</f>
        <v>0.2</v>
      </c>
      <c r="H142" s="25">
        <f>$H$59</f>
        <v>0.2</v>
      </c>
      <c r="I142" s="25">
        <f>$I$59</f>
        <v>0.15</v>
      </c>
      <c r="J142" s="25">
        <f>$J$59</f>
        <v>0.15</v>
      </c>
    </row>
    <row r="143">
      <c r="A143" s="16" t="inlineStr">
        <is>
          <t>Gate 10: STATUS</t>
        </is>
      </c>
      <c r="C143" s="52" t="str">
        <f>IF(ISNUMBER($C$140),IF($C$140&gt;1,"NO-GO",IF($C$142&gt;=$C$140,"GO","NO-GO")),"NO-GO")</f>
        <v>NO-GO</v>
      </c>
      <c r="D143" s="52" t="str">
        <f>IF(ISNUMBER($D$140),IF($D$140&gt;1,"NO-GO",IF($D$142&gt;=$D$140,"GO","NO-GO")),"NO-GO")</f>
        <v>NO-GO</v>
      </c>
      <c r="E143" s="52" t="str">
        <f>IF(ISNUMBER($E$140),IF($E$140&gt;1,"NO-GO",IF($E$142&gt;=$E$140,"GO","NO-GO")),"NO-GO")</f>
        <v>NO-GO</v>
      </c>
      <c r="F143" s="52" t="str">
        <f>IF(ISNUMBER($F$140),IF($F$140&gt;1,"NO-GO",IF($F$142&gt;=$F$140,"GO","NO-GO")),"NO-GO")</f>
        <v>NO-GO</v>
      </c>
      <c r="G143" s="52" t="str">
        <f>IF(ISNUMBER($G$140),IF($G$140&gt;1,"NO-GO",IF($G$142&gt;=$G$140,"GO","NO-GO")),"NO-GO")</f>
        <v>NO-GO</v>
      </c>
      <c r="H143" s="52" t="str">
        <f>IF(ISNUMBER($H$140),IF($H$140&gt;1,"NO-GO",IF($H$142&gt;=$H$140,"GO","NO-GO")),"NO-GO")</f>
        <v>NO-GO</v>
      </c>
      <c r="I143" s="52" t="str">
        <f>IF(ISNUMBER($I$140),IF($I$140&gt;1,"NO-GO",IF($I$142&gt;=$I$140,"GO","NO-GO")),"NO-GO")</f>
        <v>NO-GO</v>
      </c>
      <c r="J143" s="52" t="str">
        <f>IF(ISNUMBER($J$140),IF($J$140&gt;1,"NO-GO",IF($J$142&gt;=$J$140,"GO","NO-GO")),"NO-GO")</f>
        <v>NO-GO</v>
      </c>
    </row>
    <row r="144">
      <c r="A144" s="3" t="inlineStr">
        <is>
          <t>Gate 11: minimum attach to justify US filter inventory (cat) - GO threshold</t>
        </is>
      </c>
      <c r="C144" s="34" t="str">
        <f>IF($C$82&lt;=0,"Not achievable",(Inputs!$G$178*Inputs!$E$56*(1+Inputs!$E$57)+Inputs!$G$178/Inputs!$E$15*(Inputs!$E$58+Inputs!$E$59)+12*Inputs!$E$94)/(Inputs!$G$185/$C$21*12*$C$82))</f>
        <v>Not achievable</v>
      </c>
      <c r="D144" s="34" t="str">
        <f>IF($D$82&lt;=0,"Not achievable",(Inputs!$G$178*Inputs!$E$56*(1+Inputs!$E$57)+Inputs!$G$178/Inputs!$E$15*(Inputs!$E$58+Inputs!$E$59)+12*Inputs!$E$94)/(Inputs!$G$185/$D$21*12*$D$82))</f>
        <v>Not achievable</v>
      </c>
      <c r="E144" s="34">
        <f>IF($E$82&lt;=0,"Not achievable",(Inputs!$G$178*Inputs!$E$56*(1+Inputs!$E$57)+Inputs!$G$178/Inputs!$E$15*(Inputs!$E$58+Inputs!$E$59)+12*Inputs!$E$94)/(Inputs!$G$185/$E$21*12*$E$82))</f>
        <v>1.05060832984774</v>
      </c>
      <c r="F144" s="34">
        <f>IF($F$82&lt;=0,"Not achievable",(Inputs!$G$178*Inputs!$E$56*(1+Inputs!$E$57)+Inputs!$G$178/Inputs!$E$15*(Inputs!$E$58+Inputs!$E$59)+12*Inputs!$E$94)/(Inputs!$G$185/$F$21*12*$F$82))</f>
        <v>0.6828954144010309</v>
      </c>
      <c r="G144" s="34">
        <f>IF($G$82&lt;=0,"Not achievable",(Inputs!$G$178*Inputs!$E$56*(1+Inputs!$E$57)+Inputs!$G$178/Inputs!$E$15*(Inputs!$E$58+Inputs!$E$59)+12*Inputs!$E$94)/(Inputs!$G$185/$G$21*12*$G$82))</f>
        <v>1.05060832984774</v>
      </c>
      <c r="H144" s="34">
        <f>IF($H$82&lt;=0,"Not achievable",(Inputs!$G$178*Inputs!$E$56*(1+Inputs!$E$57)+Inputs!$G$178/Inputs!$E$15*(Inputs!$E$58+Inputs!$E$59)+12*Inputs!$E$94)/(Inputs!$G$185/$H$21*12*$H$82))</f>
        <v>0.6828954144010309</v>
      </c>
      <c r="I144" s="34" t="inlineStr">
        <is>
          <t>n/a</t>
        </is>
      </c>
      <c r="J144" s="34" t="inlineStr">
        <is>
          <t>n/a</t>
        </is>
      </c>
    </row>
    <row r="145">
      <c r="A145" s="3" t="inlineStr">
        <is>
          <t>Gate 11: CONDITIONAL threshold</t>
        </is>
      </c>
      <c r="C145" s="34" t="str">
        <f>IF($C$82&lt;=0,"Not achievable",(Inputs!$G$178*Inputs!$E$56*(1+Inputs!$E$57)+Inputs!$G$178/Inputs!$E$15*(Inputs!$E$58+Inputs!$E$59)+12*Inputs!$E$94)/(Inputs!$G$185/$C$21*12*$C$82))</f>
        <v>Not achievable</v>
      </c>
      <c r="D145" s="34" t="str">
        <f>IF($D$82&lt;=0,"Not achievable",(Inputs!$G$178*Inputs!$E$56*(1+Inputs!$E$57)+Inputs!$G$178/Inputs!$E$15*(Inputs!$E$58+Inputs!$E$59)+12*Inputs!$E$94)/(Inputs!$G$185/$D$21*12*$D$82))</f>
        <v>Not achievable</v>
      </c>
      <c r="E145" s="34">
        <f>IF($E$82&lt;=0,"Not achievable",(Inputs!$G$178*Inputs!$E$56*(1+Inputs!$E$57)+Inputs!$G$178/Inputs!$E$15*(Inputs!$E$58+Inputs!$E$59)+12*Inputs!$E$94)/(Inputs!$G$185/$E$21*12*$E$82))</f>
        <v>1.05060832984774</v>
      </c>
      <c r="F145" s="34">
        <f>IF($F$82&lt;=0,"Not achievable",(Inputs!$G$178*Inputs!$E$56*(1+Inputs!$E$57)+Inputs!$G$178/Inputs!$E$15*(Inputs!$E$58+Inputs!$E$59)+12*Inputs!$E$94)/(Inputs!$G$185/$F$21*12*$F$82))</f>
        <v>0.6828954144010309</v>
      </c>
      <c r="G145" s="34">
        <f>IF($G$82&lt;=0,"Not achievable",(Inputs!$G$178*Inputs!$E$56*(1+Inputs!$E$57)+Inputs!$G$178/Inputs!$E$15*(Inputs!$E$58+Inputs!$E$59)+12*Inputs!$E$94)/(Inputs!$G$185/$G$21*12*$G$82))</f>
        <v>1.05060832984774</v>
      </c>
      <c r="H145" s="34">
        <f>IF($H$82&lt;=0,"Not achievable",(Inputs!$G$178*Inputs!$E$56*(1+Inputs!$E$57)+Inputs!$G$178/Inputs!$E$15*(Inputs!$E$58+Inputs!$E$59)+12*Inputs!$E$94)/(Inputs!$G$185/$H$21*12*$H$82))</f>
        <v>0.6828954144010309</v>
      </c>
      <c r="I145" s="34" t="inlineStr">
        <is>
          <t>n/a</t>
        </is>
      </c>
      <c r="J145" s="34" t="inlineStr">
        <is>
          <t>n/a</t>
        </is>
      </c>
    </row>
    <row r="146">
      <c r="A146" s="16" t="inlineStr">
        <is>
          <t>Gate 11: model value</t>
        </is>
      </c>
      <c r="C146" s="25">
        <f>$C$59</f>
        <v>0.2</v>
      </c>
      <c r="D146" s="25">
        <f>$D$59</f>
        <v>0.2</v>
      </c>
      <c r="E146" s="25">
        <f>$E$59</f>
        <v>0.2</v>
      </c>
      <c r="F146" s="25">
        <f>$F$59</f>
        <v>0.2</v>
      </c>
      <c r="G146" s="25">
        <f>$G$59</f>
        <v>0.2</v>
      </c>
      <c r="H146" s="25">
        <f>$H$59</f>
        <v>0.2</v>
      </c>
      <c r="I146" s="25" t="inlineStr">
        <is>
          <t>n/a</t>
        </is>
      </c>
      <c r="J146" s="25" t="inlineStr">
        <is>
          <t>n/a</t>
        </is>
      </c>
    </row>
    <row r="147">
      <c r="A147" s="16" t="inlineStr">
        <is>
          <t>Gate 11: STATUS</t>
        </is>
      </c>
      <c r="C147" s="52" t="str">
        <f>IF(ISNUMBER($C$144),IF($C$144&gt;1,"NO-GO",IF($C$146&gt;=$C$144,"GO","NO-GO")),"NO-GO")</f>
        <v>NO-GO</v>
      </c>
      <c r="D147" s="52" t="str">
        <f>IF(ISNUMBER($D$144),IF($D$144&gt;1,"NO-GO",IF($D$146&gt;=$D$144,"GO","NO-GO")),"NO-GO")</f>
        <v>NO-GO</v>
      </c>
      <c r="E147" s="52" t="str">
        <f>IF(ISNUMBER($E$144),IF($E$144&gt;1,"NO-GO",IF($E$146&gt;=$E$144,"GO","NO-GO")),"NO-GO")</f>
        <v>NO-GO</v>
      </c>
      <c r="F147" s="52" t="str">
        <f>IF(ISNUMBER($F$144),IF($F$144&gt;1,"NO-GO",IF($F$146&gt;=$F$144,"GO","NO-GO")),"NO-GO")</f>
        <v>NO-GO</v>
      </c>
      <c r="G147" s="52" t="str">
        <f>IF(ISNUMBER($G$144),IF($G$144&gt;1,"NO-GO",IF($G$146&gt;=$G$144,"GO","NO-GO")),"NO-GO")</f>
        <v>NO-GO</v>
      </c>
      <c r="H147" s="52" t="str">
        <f>IF(ISNUMBER($H$144),IF($H$144&gt;1,"NO-GO",IF($H$146&gt;=$H$144,"GO","NO-GO")),"NO-GO")</f>
        <v>NO-GO</v>
      </c>
      <c r="I147" s="52" t="inlineStr">
        <is>
          <t>n/a</t>
        </is>
      </c>
      <c r="J147" s="52" t="inlineStr">
        <is>
          <t>n/a</t>
        </is>
      </c>
    </row>
    <row r="148">
      <c r="A148" s="3" t="inlineStr">
        <is>
          <t>Gate 12: cash needed vs cash available - GO threshold</t>
        </is>
      </c>
      <c r="C148" s="33">
        <f>$C$110</f>
        <v>15000.0</v>
      </c>
      <c r="D148" s="33">
        <f>$D$110</f>
        <v>15000.0</v>
      </c>
      <c r="E148" s="33">
        <f>$E$110</f>
        <v>15000.0</v>
      </c>
      <c r="F148" s="33">
        <f>$F$110</f>
        <v>15000.0</v>
      </c>
      <c r="G148" s="33">
        <f>$G$110</f>
        <v>15000.0</v>
      </c>
      <c r="H148" s="33">
        <f>$H$110</f>
        <v>15000.0</v>
      </c>
      <c r="I148" s="33">
        <f>$I$110</f>
        <v>15000.0</v>
      </c>
      <c r="J148" s="33">
        <f>$J$110</f>
        <v>15000.0</v>
      </c>
    </row>
    <row r="149">
      <c r="A149" s="3" t="inlineStr">
        <is>
          <t>Gate 12: CONDITIONAL threshold</t>
        </is>
      </c>
      <c r="C149" s="33">
        <f>$C$110</f>
        <v>15000.0</v>
      </c>
      <c r="D149" s="33">
        <f>$D$110</f>
        <v>15000.0</v>
      </c>
      <c r="E149" s="33">
        <f>$E$110</f>
        <v>15000.0</v>
      </c>
      <c r="F149" s="33">
        <f>$F$110</f>
        <v>15000.0</v>
      </c>
      <c r="G149" s="33">
        <f>$G$110</f>
        <v>15000.0</v>
      </c>
      <c r="H149" s="33">
        <f>$H$110</f>
        <v>15000.0</v>
      </c>
      <c r="I149" s="33">
        <f>$I$110</f>
        <v>15000.0</v>
      </c>
      <c r="J149" s="33">
        <f>$J$110</f>
        <v>15000.0</v>
      </c>
    </row>
    <row r="150">
      <c r="A150" s="16" t="inlineStr">
        <is>
          <t>Gate 12: model value</t>
        </is>
      </c>
      <c r="C150" s="30">
        <f>$C$109</f>
        <v>28830.492625000006</v>
      </c>
      <c r="D150" s="30">
        <f>$D$109</f>
        <v>35518.105051000006</v>
      </c>
      <c r="E150" s="30">
        <f>$E$109</f>
        <v>35518.105051000006</v>
      </c>
      <c r="F150" s="30">
        <f>$F$109</f>
        <v>35518.105051000006</v>
      </c>
      <c r="G150" s="30">
        <f>$G$109</f>
        <v>34170.308686799995</v>
      </c>
      <c r="H150" s="30">
        <f>$H$109</f>
        <v>34170.308686799995</v>
      </c>
      <c r="I150" s="30">
        <f>$I$109</f>
        <v>18649.524500000007</v>
      </c>
      <c r="J150" s="30">
        <f>$J$109</f>
        <v>18649.524500000007</v>
      </c>
    </row>
    <row r="151">
      <c r="A151" s="16" t="inlineStr">
        <is>
          <t>Gate 12: STATUS</t>
        </is>
      </c>
      <c r="C151" s="52" t="str">
        <f>IF($C$150&lt;=$C$148,"GO","NO-GO")</f>
        <v>NO-GO</v>
      </c>
      <c r="D151" s="52" t="str">
        <f>IF($D$150&lt;=$D$148,"GO","NO-GO")</f>
        <v>NO-GO</v>
      </c>
      <c r="E151" s="52" t="str">
        <f>IF($E$150&lt;=$E$148,"GO","NO-GO")</f>
        <v>NO-GO</v>
      </c>
      <c r="F151" s="52" t="str">
        <f>IF($F$150&lt;=$F$148,"GO","NO-GO")</f>
        <v>NO-GO</v>
      </c>
      <c r="G151" s="52" t="str">
        <f>IF($G$150&lt;=$G$148,"GO","NO-GO")</f>
        <v>NO-GO</v>
      </c>
      <c r="H151" s="52" t="str">
        <f>IF($H$150&lt;=$H$148,"GO","NO-GO")</f>
        <v>NO-GO</v>
      </c>
      <c r="I151" s="52" t="str">
        <f>IF($I$150&lt;=$I$148,"GO","NO-GO")</f>
        <v>NO-GO</v>
      </c>
      <c r="J151" s="52" t="str">
        <f>IF($J$150&lt;=$J$148,"GO","NO-GO")</f>
        <v>NO-GO</v>
      </c>
    </row>
    <row r="152">
      <c r="A152" s="3" t="inlineStr">
        <is>
          <t>Gate 13: CPA at which 12-month LTV = CAC (vs CAC) - GO threshold</t>
        </is>
      </c>
      <c r="C152" s="26">
        <f>$C$74</f>
        <v>3.1692859856986333</v>
      </c>
      <c r="D152" s="26">
        <f>$D$74</f>
        <v>15.691179409524613</v>
      </c>
      <c r="E152" s="26">
        <f>$E$74</f>
        <v>18.665302462089212</v>
      </c>
      <c r="F152" s="26">
        <f>$F$74</f>
        <v>14.636302462089207</v>
      </c>
      <c r="G152" s="26">
        <f>$G$74</f>
        <v>21.196329187089223</v>
      </c>
      <c r="H152" s="26">
        <f>$H$74</f>
        <v>17.167329187089216</v>
      </c>
      <c r="I152" s="26">
        <f>$I$74</f>
        <v>27.155183071337706</v>
      </c>
      <c r="J152" s="26">
        <f>$J$74</f>
        <v>39.652103071337706</v>
      </c>
    </row>
    <row r="153">
      <c r="A153" s="3" t="inlineStr">
        <is>
          <t>Gate 13: CONDITIONAL threshold</t>
        </is>
      </c>
      <c r="C153" s="26">
        <f>$C$74</f>
        <v>3.1692859856986333</v>
      </c>
      <c r="D153" s="26">
        <f>$D$74</f>
        <v>15.691179409524613</v>
      </c>
      <c r="E153" s="26">
        <f>$E$74</f>
        <v>18.665302462089212</v>
      </c>
      <c r="F153" s="26">
        <f>$F$74</f>
        <v>14.636302462089207</v>
      </c>
      <c r="G153" s="26">
        <f>$G$74</f>
        <v>21.196329187089223</v>
      </c>
      <c r="H153" s="26">
        <f>$H$74</f>
        <v>17.167329187089216</v>
      </c>
      <c r="I153" s="26">
        <f>$I$74</f>
        <v>27.155183071337706</v>
      </c>
      <c r="J153" s="26">
        <f>$J$74</f>
        <v>39.652103071337706</v>
      </c>
    </row>
    <row r="154">
      <c r="A154" s="16" t="inlineStr">
        <is>
          <t>Gate 13: model value</t>
        </is>
      </c>
      <c r="C154" s="23">
        <f>$C$21</f>
        <v>45.0</v>
      </c>
      <c r="D154" s="23">
        <f>$D$21</f>
        <v>45.0</v>
      </c>
      <c r="E154" s="23">
        <f>$E$21</f>
        <v>45.0</v>
      </c>
      <c r="F154" s="23">
        <f>$F$21</f>
        <v>29.25</v>
      </c>
      <c r="G154" s="23">
        <f>$G$21</f>
        <v>45.0</v>
      </c>
      <c r="H154" s="23">
        <f>$H$21</f>
        <v>29.25</v>
      </c>
      <c r="I154" s="23">
        <f>$I$21</f>
        <v>45.0</v>
      </c>
      <c r="J154" s="23">
        <f>$J$21</f>
        <v>45.0</v>
      </c>
    </row>
    <row r="155">
      <c r="A155" s="16" t="inlineStr">
        <is>
          <t>Gate 13: STATUS</t>
        </is>
      </c>
      <c r="C155" s="52" t="str">
        <f>IF($C$154&lt;=$C$152,"GO",IF($C$154&lt;=$C$153,"CONDITIONAL","NO-GO"))</f>
        <v>NO-GO</v>
      </c>
      <c r="D155" s="52" t="str">
        <f>IF($D$154&lt;=$D$152,"GO",IF($D$154&lt;=$D$153,"CONDITIONAL","NO-GO"))</f>
        <v>NO-GO</v>
      </c>
      <c r="E155" s="52" t="str">
        <f>IF($E$154&lt;=$E$152,"GO",IF($E$154&lt;=$E$153,"CONDITIONAL","NO-GO"))</f>
        <v>NO-GO</v>
      </c>
      <c r="F155" s="52" t="str">
        <f>IF($F$154&lt;=$F$152,"GO",IF($F$154&lt;=$F$153,"CONDITIONAL","NO-GO"))</f>
        <v>NO-GO</v>
      </c>
      <c r="G155" s="52" t="str">
        <f>IF($G$154&lt;=$G$152,"GO",IF($G$154&lt;=$G$153,"CONDITIONAL","NO-GO"))</f>
        <v>NO-GO</v>
      </c>
      <c r="H155" s="52" t="str">
        <f>IF($H$154&lt;=$H$152,"GO",IF($H$154&lt;=$H$153,"CONDITIONAL","NO-GO"))</f>
        <v>NO-GO</v>
      </c>
      <c r="I155" s="52" t="str">
        <f>IF($I$154&lt;=$I$152,"GO",IF($I$154&lt;=$I$153,"CONDITIONAL","NO-GO"))</f>
        <v>NO-GO</v>
      </c>
      <c r="J155" s="52" t="str">
        <f>IF($J$154&lt;=$J$152,"GO",IF($J$154&lt;=$J$153,"CONDITIONAL","NO-GO"))</f>
        <v>NO-GO</v>
      </c>
    </row>
    <row r="156">
      <c r="A156" s="3" t="inlineStr">
        <is>
          <t>Gate 14: hero price for first order (hero only) after CAC &gt;= gate-5 threshold - GO threshold</t>
        </is>
      </c>
      <c r="C156" s="26">
        <f>(Inputs!$E$166+$C$21+(-($C$26+$C$27+$C$28+$C$29+$C$31+$C$32)+Inputs!$E$101+Inputs!$E$108*Inputs!$E$109))/(1-$C$17-Inputs!$E$100-$C$19*$C$20-Inputs!$E$108)</f>
        <v>97.20637092959296</v>
      </c>
      <c r="D156" s="26">
        <f>(Inputs!$E$166+$D$21+(-($D$26+$D$27+$D$28+$D$29+$D$31+$D$32)+Inputs!$E$101+Inputs!$E$108*Inputs!$E$109))/(1-$D$17-Inputs!$E$100-$D$19*$D$20-Inputs!$E$108)</f>
        <v>113.10692098459846</v>
      </c>
      <c r="E156" s="26">
        <f>(Inputs!$E$166+$E$21+(-($E$26+$E$27+$E$28+$E$29+$E$31+$E$32)+Inputs!$E$101+Inputs!$E$108*Inputs!$E$109))/(1-$E$17-Inputs!$E$100-$E$19*$E$20-Inputs!$E$108)</f>
        <v>113.10692098459846</v>
      </c>
      <c r="F156" s="26">
        <f>(Inputs!$E$166+$F$21+(-($F$26+$F$27+$F$28+$F$29+$F$31+$F$32)+Inputs!$E$101+Inputs!$E$108*Inputs!$E$109))/(1-$F$17-Inputs!$E$100-$F$19*$F$20-Inputs!$E$108)</f>
        <v>101.47341628787878</v>
      </c>
      <c r="G156" s="26">
        <f>(Inputs!$E$166+$G$21+(-($G$26+$G$27+$G$28+$G$29+$G$31+$G$32)+Inputs!$E$101+Inputs!$E$108*Inputs!$E$109))/(1-$G$17-Inputs!$E$100-$G$19*$G$20-Inputs!$E$108)</f>
        <v>110.32251314631462</v>
      </c>
      <c r="H156" s="26">
        <f>(Inputs!$E$166+$H$21+(-($H$26+$H$27+$H$28+$H$29+$H$31+$H$32)+Inputs!$E$101+Inputs!$E$108*Inputs!$E$109))/(1-$H$17-Inputs!$E$100-$H$19*$H$20-Inputs!$E$108)</f>
        <v>98.52350168997668</v>
      </c>
      <c r="I156" s="26">
        <f>(Inputs!$E$166+$I$21+(-($I$26+$I$27+$I$28+$I$29+$I$31+$I$32)+Inputs!$E$101+Inputs!$E$108*Inputs!$E$109))/(1-$I$17-Inputs!$E$100-$I$19*$I$20-Inputs!$E$108)</f>
        <v>112.5335980941704</v>
      </c>
      <c r="J156" s="26">
        <f>(Inputs!$E$166+$J$21+(-($J$26+$J$27+$J$28+$J$29+$J$31+$J$32)+Inputs!$E$101+Inputs!$E$108*Inputs!$E$109))/(1-$J$17-Inputs!$E$100-$J$19*$J$20-Inputs!$E$108)</f>
        <v>112.5335980941704</v>
      </c>
    </row>
    <row r="157">
      <c r="A157" s="3" t="inlineStr">
        <is>
          <t>Gate 14: CONDITIONAL threshold</t>
        </is>
      </c>
      <c r="C157" s="26">
        <f>(Inputs!$E$167+$C$21+(-($C$26+$C$27+$C$28+$C$29+$C$31+$C$32)+Inputs!$E$101+Inputs!$E$108*Inputs!$E$109))/(1-$C$17-Inputs!$E$100-$C$19*$C$20-Inputs!$E$108)</f>
        <v>86.20527081958195</v>
      </c>
      <c r="D157" s="26">
        <f>(Inputs!$E$167+$D$21+(-($D$26+$D$27+$D$28+$D$29+$D$31+$D$32)+Inputs!$E$101+Inputs!$E$108*Inputs!$E$109))/(1-$D$17-Inputs!$E$100-$D$19*$D$20-Inputs!$E$108)</f>
        <v>102.10582087458745</v>
      </c>
      <c r="E157" s="26">
        <f>(Inputs!$E$167+$E$21+(-($E$26+$E$27+$E$28+$E$29+$E$31+$E$32)+Inputs!$E$101+Inputs!$E$108*Inputs!$E$109))/(1-$E$17-Inputs!$E$100-$E$19*$E$20-Inputs!$E$108)</f>
        <v>102.10582087458745</v>
      </c>
      <c r="F157" s="26">
        <f>(Inputs!$E$167+$F$21+(-($F$26+$F$27+$F$28+$F$29+$F$31+$F$32)+Inputs!$E$101+Inputs!$E$108*Inputs!$E$109))/(1-$F$17-Inputs!$E$100-$F$19*$F$20-Inputs!$E$108)</f>
        <v>89.81840463286713</v>
      </c>
      <c r="G157" s="26">
        <f>(Inputs!$E$167+$G$21+(-($G$26+$G$27+$G$28+$G$29+$G$31+$G$32)+Inputs!$E$101+Inputs!$E$108*Inputs!$E$109))/(1-$G$17-Inputs!$E$100-$G$19*$G$20-Inputs!$E$108)</f>
        <v>99.32141303630362</v>
      </c>
      <c r="H157" s="26">
        <f>(Inputs!$E$167+$H$21+(-($H$26+$H$27+$H$28+$H$29+$H$31+$H$32)+Inputs!$E$101+Inputs!$E$108*Inputs!$E$109))/(1-$H$17-Inputs!$E$100-$H$19*$H$20-Inputs!$E$108)</f>
        <v>86.86849003496502</v>
      </c>
      <c r="I157" s="26">
        <f>(Inputs!$E$167+$I$21+(-($I$26+$I$27+$I$28+$I$29+$I$31+$I$32)+Inputs!$E$101+Inputs!$E$108*Inputs!$E$109))/(1-$I$17-Inputs!$E$100-$I$19*$I$20-Inputs!$E$108)</f>
        <v>101.32283576233183</v>
      </c>
      <c r="J157" s="26">
        <f>(Inputs!$E$167+$J$21+(-($J$26+$J$27+$J$28+$J$29+$J$31+$J$32)+Inputs!$E$101+Inputs!$E$108*Inputs!$E$109))/(1-$J$17-Inputs!$E$100-$J$19*$J$20-Inputs!$E$108)</f>
        <v>101.32283576233183</v>
      </c>
    </row>
    <row r="158">
      <c r="A158" s="16" t="inlineStr">
        <is>
          <t>Gate 14: model value</t>
        </is>
      </c>
      <c r="C158" s="23">
        <f>$C$9</f>
        <v>49.99</v>
      </c>
      <c r="D158" s="23">
        <f>$D$9</f>
        <v>79.0</v>
      </c>
      <c r="E158" s="23">
        <f>$E$9</f>
        <v>79.0</v>
      </c>
      <c r="F158" s="23">
        <f>$F$9</f>
        <v>79.0</v>
      </c>
      <c r="G158" s="23">
        <f>$G$9</f>
        <v>79.0</v>
      </c>
      <c r="H158" s="23">
        <f>$H$9</f>
        <v>79.0</v>
      </c>
      <c r="I158" s="23">
        <f>$I$9</f>
        <v>84.99</v>
      </c>
      <c r="J158" s="23">
        <f>$J$9</f>
        <v>99.0</v>
      </c>
    </row>
    <row r="159">
      <c r="A159" s="16" t="inlineStr">
        <is>
          <t>Gate 14: STATUS</t>
        </is>
      </c>
      <c r="C159" s="52" t="str">
        <f>IF($C$158&gt;=$C$156,"GO",IF($C$158&gt;=$C$157,"CONDITIONAL","NO-GO"))</f>
        <v>NO-GO</v>
      </c>
      <c r="D159" s="52" t="str">
        <f>IF($D$158&gt;=$D$156,"GO",IF($D$158&gt;=$D$157,"CONDITIONAL","NO-GO"))</f>
        <v>NO-GO</v>
      </c>
      <c r="E159" s="52" t="str">
        <f>IF($E$158&gt;=$E$156,"GO",IF($E$158&gt;=$E$157,"CONDITIONAL","NO-GO"))</f>
        <v>NO-GO</v>
      </c>
      <c r="F159" s="52" t="str">
        <f>IF($F$158&gt;=$F$156,"GO",IF($F$158&gt;=$F$157,"CONDITIONAL","NO-GO"))</f>
        <v>NO-GO</v>
      </c>
      <c r="G159" s="52" t="str">
        <f>IF($G$158&gt;=$G$156,"GO",IF($G$158&gt;=$G$157,"CONDITIONAL","NO-GO"))</f>
        <v>NO-GO</v>
      </c>
      <c r="H159" s="52" t="str">
        <f>IF($H$158&gt;=$H$156,"GO",IF($H$158&gt;=$H$157,"CONDITIONAL","NO-GO"))</f>
        <v>NO-GO</v>
      </c>
      <c r="I159" s="52" t="str">
        <f>IF($I$158&gt;=$I$156,"GO",IF($I$158&gt;=$I$157,"CONDITIONAL","NO-GO"))</f>
        <v>NO-GO</v>
      </c>
      <c r="J159" s="52" t="str">
        <f>IF($J$158&gt;=$J$156,"GO",IF($J$158&gt;=$J$157,"CONDITIONAL","NO-GO"))</f>
        <v>NO-GO</v>
      </c>
    </row>
    <row r="160">
      <c r="A160" s="4" t="inlineStr">
        <is>
          <t>Gate summary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16" t="inlineStr">
        <is>
          <t>Gates at GO</t>
        </is>
      </c>
      <c r="C161" s="21">
        <f>($C$115="GO")+($C$119="GO")+($C$123="GO")+($C$127="GO")+($C$131="GO")+($C$135="GO")+($C$139="GO")+($C$143="GO")+($C$147="GO")+($C$151="GO")+($C$155="GO")+($C$159="GO")</f>
        <v>0.0</v>
      </c>
      <c r="D161" s="21">
        <f>($D$115="GO")+($D$119="GO")+($D$123="GO")+($D$127="GO")+($D$131="GO")+($D$135="GO")+($D$139="GO")+($D$143="GO")+($D$147="GO")+($D$151="GO")+($D$155="GO")+($D$159="GO")</f>
        <v>0.0</v>
      </c>
      <c r="E161" s="21">
        <f>($E$115="GO")+($E$119="GO")+($E$123="GO")+($E$127="GO")+($E$131="GO")+($E$135="GO")+($E$139="GO")+($E$143="GO")+($E$147="GO")+($E$151="GO")+($E$155="GO")+($E$159="GO")</f>
        <v>2.0</v>
      </c>
      <c r="F161" s="21">
        <f>($F$115="GO")+($F$119="GO")+($F$123="GO")+($F$127="GO")+($F$131="GO")+($F$135="GO")+($F$139="GO")+($F$143="GO")+($F$147="GO")+($F$151="GO")+($F$155="GO")+($F$159="GO")</f>
        <v>2.0</v>
      </c>
      <c r="G161" s="21">
        <f>($G$115="GO")+($G$119="GO")+($G$123="GO")+($G$127="GO")+($G$131="GO")+($G$135="GO")+($G$139="GO")+($G$143="GO")+($G$147="GO")+($G$151="GO")+($G$155="GO")+($G$159="GO")</f>
        <v>2.0</v>
      </c>
      <c r="H161" s="21">
        <f>($H$115="GO")+($H$119="GO")+($H$123="GO")+($H$127="GO")+($H$131="GO")+($H$135="GO")+($H$139="GO")+($H$143="GO")+($H$147="GO")+($H$151="GO")+($H$155="GO")+($H$159="GO")</f>
        <v>2.0</v>
      </c>
      <c r="I161" s="21">
        <f>($I$115="GO")+($I$119="GO")+($I$123="GO")+($I$127="GO")+($I$131="GO")+($I$135="GO")+($I$139="GO")+($I$143="GO")+($I$147="GO")+($I$151="GO")+($I$155="GO")+($I$159="GO")</f>
        <v>2.0</v>
      </c>
      <c r="J161" s="21">
        <f>($J$115="GO")+($J$119="GO")+($J$123="GO")+($J$127="GO")+($J$131="GO")+($J$135="GO")+($J$139="GO")+($J$143="GO")+($J$147="GO")+($J$151="GO")+($J$155="GO")+($J$159="GO")</f>
        <v>2.0</v>
      </c>
    </row>
    <row r="162">
      <c r="A162" s="3" t="inlineStr">
        <is>
          <t>Gates CONDITIONAL</t>
        </is>
      </c>
      <c r="C162" s="41">
        <f>($C$115="CONDITIONAL")+($C$119="CONDITIONAL")+($C$123="CONDITIONAL")+($C$127="CONDITIONAL")+($C$131="CONDITIONAL")+($C$135="CONDITIONAL")+($C$139="CONDITIONAL")+($C$143="CONDITIONAL")+($C$147="CONDITIONAL")+($C$151="CONDITIONAL")+($C$155="CONDITIONAL")+($C$159="CONDITIONAL")</f>
        <v>0.0</v>
      </c>
      <c r="D162" s="41">
        <f>($D$115="CONDITIONAL")+($D$119="CONDITIONAL")+($D$123="CONDITIONAL")+($D$127="CONDITIONAL")+($D$131="CONDITIONAL")+($D$135="CONDITIONAL")+($D$139="CONDITIONAL")+($D$143="CONDITIONAL")+($D$147="CONDITIONAL")+($D$151="CONDITIONAL")+($D$155="CONDITIONAL")+($D$159="CONDITIONAL")</f>
        <v>0.0</v>
      </c>
      <c r="E162" s="41">
        <f>($E$115="CONDITIONAL")+($E$119="CONDITIONAL")+($E$123="CONDITIONAL")+($E$127="CONDITIONAL")+($E$131="CONDITIONAL")+($E$135="CONDITIONAL")+($E$139="CONDITIONAL")+($E$143="CONDITIONAL")+($E$147="CONDITIONAL")+($E$151="CONDITIONAL")+($E$155="CONDITIONAL")+($E$159="CONDITIONAL")</f>
        <v>0.0</v>
      </c>
      <c r="F162" s="41">
        <f>($F$115="CONDITIONAL")+($F$119="CONDITIONAL")+($F$123="CONDITIONAL")+($F$127="CONDITIONAL")+($F$131="CONDITIONAL")+($F$135="CONDITIONAL")+($F$139="CONDITIONAL")+($F$143="CONDITIONAL")+($F$147="CONDITIONAL")+($F$151="CONDITIONAL")+($F$155="CONDITIONAL")+($F$159="CONDITIONAL")</f>
        <v>0.0</v>
      </c>
      <c r="G162" s="41">
        <f>($G$115="CONDITIONAL")+($G$119="CONDITIONAL")+($G$123="CONDITIONAL")+($G$127="CONDITIONAL")+($G$131="CONDITIONAL")+($G$135="CONDITIONAL")+($G$139="CONDITIONAL")+($G$143="CONDITIONAL")+($G$147="CONDITIONAL")+($G$151="CONDITIONAL")+($G$155="CONDITIONAL")+($G$159="CONDITIONAL")</f>
        <v>0.0</v>
      </c>
      <c r="H162" s="41">
        <f>($H$115="CONDITIONAL")+($H$119="CONDITIONAL")+($H$123="CONDITIONAL")+($H$127="CONDITIONAL")+($H$131="CONDITIONAL")+($H$135="CONDITIONAL")+($H$139="CONDITIONAL")+($H$143="CONDITIONAL")+($H$147="CONDITIONAL")+($H$151="CONDITIONAL")+($H$155="CONDITIONAL")+($H$159="CONDITIONAL")</f>
        <v>0.0</v>
      </c>
      <c r="I162" s="41">
        <f>($I$115="CONDITIONAL")+($I$119="CONDITIONAL")+($I$123="CONDITIONAL")+($I$127="CONDITIONAL")+($I$131="CONDITIONAL")+($I$135="CONDITIONAL")+($I$139="CONDITIONAL")+($I$143="CONDITIONAL")+($I$147="CONDITIONAL")+($I$151="CONDITIONAL")+($I$155="CONDITIONAL")+($I$159="CONDITIONAL")</f>
        <v>1.0</v>
      </c>
      <c r="J162" s="41">
        <f>($J$115="CONDITIONAL")+($J$119="CONDITIONAL")+($J$123="CONDITIONAL")+($J$127="CONDITIONAL")+($J$131="CONDITIONAL")+($J$135="CONDITIONAL")+($J$139="CONDITIONAL")+($J$143="CONDITIONAL")+($J$147="CONDITIONAL")+($J$151="CONDITIONAL")+($J$155="CONDITIONAL")+($J$159="CONDITIONAL")</f>
        <v>1.0</v>
      </c>
    </row>
    <row r="163">
      <c r="A163" s="16" t="inlineStr">
        <is>
          <t>Gates NO-GO</t>
        </is>
      </c>
      <c r="C163" s="21">
        <f>($C$115="NO-GO")+($C$119="NO-GO")+($C$123="NO-GO")+($C$127="NO-GO")+($C$131="NO-GO")+($C$135="NO-GO")+($C$139="NO-GO")+($C$143="NO-GO")+($C$147="NO-GO")+($C$151="NO-GO")+($C$155="NO-GO")+($C$159="NO-GO")</f>
        <v>12.0</v>
      </c>
      <c r="D163" s="21">
        <f>($D$115="NO-GO")+($D$119="NO-GO")+($D$123="NO-GO")+($D$127="NO-GO")+($D$131="NO-GO")+($D$135="NO-GO")+($D$139="NO-GO")+($D$143="NO-GO")+($D$147="NO-GO")+($D$151="NO-GO")+($D$155="NO-GO")+($D$159="NO-GO")</f>
        <v>12.0</v>
      </c>
      <c r="E163" s="21">
        <f>($E$115="NO-GO")+($E$119="NO-GO")+($E$123="NO-GO")+($E$127="NO-GO")+($E$131="NO-GO")+($E$135="NO-GO")+($E$139="NO-GO")+($E$143="NO-GO")+($E$147="NO-GO")+($E$151="NO-GO")+($E$155="NO-GO")+($E$159="NO-GO")</f>
        <v>10.0</v>
      </c>
      <c r="F163" s="21">
        <f>($F$115="NO-GO")+($F$119="NO-GO")+($F$123="NO-GO")+($F$127="NO-GO")+($F$131="NO-GO")+($F$135="NO-GO")+($F$139="NO-GO")+($F$143="NO-GO")+($F$147="NO-GO")+($F$151="NO-GO")+($F$155="NO-GO")+($F$159="NO-GO")</f>
        <v>10.0</v>
      </c>
      <c r="G163" s="21">
        <f>($G$115="NO-GO")+($G$119="NO-GO")+($G$123="NO-GO")+($G$127="NO-GO")+($G$131="NO-GO")+($G$135="NO-GO")+($G$139="NO-GO")+($G$143="NO-GO")+($G$147="NO-GO")+($G$151="NO-GO")+($G$155="NO-GO")+($G$159="NO-GO")</f>
        <v>10.0</v>
      </c>
      <c r="H163" s="21">
        <f>($H$115="NO-GO")+($H$119="NO-GO")+($H$123="NO-GO")+($H$127="NO-GO")+($H$131="NO-GO")+($H$135="NO-GO")+($H$139="NO-GO")+($H$143="NO-GO")+($H$147="NO-GO")+($H$151="NO-GO")+($H$155="NO-GO")+($H$159="NO-GO")</f>
        <v>10.0</v>
      </c>
      <c r="I163" s="21">
        <f>($I$115="NO-GO")+($I$119="NO-GO")+($I$123="NO-GO")+($I$127="NO-GO")+($I$131="NO-GO")+($I$135="NO-GO")+($I$139="NO-GO")+($I$143="NO-GO")+($I$147="NO-GO")+($I$151="NO-GO")+($I$155="NO-GO")+($I$159="NO-GO")</f>
        <v>8.0</v>
      </c>
      <c r="J163" s="21">
        <f>($J$115="NO-GO")+($J$119="NO-GO")+($J$123="NO-GO")+($J$127="NO-GO")+($J$131="NO-GO")+($J$135="NO-GO")+($J$139="NO-GO")+($J$143="NO-GO")+($J$147="NO-GO")+($J$151="NO-GO")+($J$155="NO-GO")+($J$159="NO-GO")</f>
        <v>8.0</v>
      </c>
    </row>
    <row r="164">
      <c r="A164" s="16" t="inlineStr">
        <is>
          <t>Gates passing (GO)</t>
        </is>
      </c>
      <c r="C164" s="52" t="str">
        <f>IF($C$161=0,"none",IF($C$115="GO","1 ","")&amp;IF($C$119="GO","4 ","")&amp;IF($C$123="GO","5 ","")&amp;IF($C$127="GO","6 ","")&amp;IF($C$131="GO","7 ","")&amp;IF($C$135="GO","8 ","")&amp;IF($C$139="GO","9 ","")&amp;IF($C$143="GO","10 ","")&amp;IF($C$147="GO","11 ","")&amp;IF($C$151="GO","12 ","")&amp;IF($C$155="GO","13 ","")&amp;IF($C$159="GO","14 ",""))</f>
        <v>none</v>
      </c>
      <c r="D164" s="52" t="str">
        <f>IF($D$161=0,"none",IF($D$115="GO","1 ","")&amp;IF($D$119="GO","4 ","")&amp;IF($D$123="GO","5 ","")&amp;IF($D$127="GO","6 ","")&amp;IF($D$131="GO","7 ","")&amp;IF($D$135="GO","8 ","")&amp;IF($D$139="GO","9 ","")&amp;IF($D$143="GO","10 ","")&amp;IF($D$147="GO","11 ","")&amp;IF($D$151="GO","12 ","")&amp;IF($D$155="GO","13 ","")&amp;IF($D$159="GO","14 ",""))</f>
        <v>none</v>
      </c>
      <c r="E164" s="52" t="str">
        <f>IF($E$161=0,"none",IF($E$115="GO","1 ","")&amp;IF($E$119="GO","4 ","")&amp;IF($E$123="GO","5 ","")&amp;IF($E$127="GO","6 ","")&amp;IF($E$131="GO","7 ","")&amp;IF($E$135="GO","8 ","")&amp;IF($E$139="GO","9 ","")&amp;IF($E$143="GO","10 ","")&amp;IF($E$147="GO","11 ","")&amp;IF($E$151="GO","12 ","")&amp;IF($E$155="GO","13 ","")&amp;IF($E$159="GO","14 ",""))</f>
        <v>8 9 </v>
      </c>
      <c r="F164" s="52" t="str">
        <f>IF($F$161=0,"none",IF($F$115="GO","1 ","")&amp;IF($F$119="GO","4 ","")&amp;IF($F$123="GO","5 ","")&amp;IF($F$127="GO","6 ","")&amp;IF($F$131="GO","7 ","")&amp;IF($F$135="GO","8 ","")&amp;IF($F$139="GO","9 ","")&amp;IF($F$143="GO","10 ","")&amp;IF($F$147="GO","11 ","")&amp;IF($F$151="GO","12 ","")&amp;IF($F$155="GO","13 ","")&amp;IF($F$159="GO","14 ",""))</f>
        <v>8 9 </v>
      </c>
      <c r="G164" s="52" t="str">
        <f>IF($G$161=0,"none",IF($G$115="GO","1 ","")&amp;IF($G$119="GO","4 ","")&amp;IF($G$123="GO","5 ","")&amp;IF($G$127="GO","6 ","")&amp;IF($G$131="GO","7 ","")&amp;IF($G$135="GO","8 ","")&amp;IF($G$139="GO","9 ","")&amp;IF($G$143="GO","10 ","")&amp;IF($G$147="GO","11 ","")&amp;IF($G$151="GO","12 ","")&amp;IF($G$155="GO","13 ","")&amp;IF($G$159="GO","14 ",""))</f>
        <v>8 9 </v>
      </c>
      <c r="H164" s="52" t="str">
        <f>IF($H$161=0,"none",IF($H$115="GO","1 ","")&amp;IF($H$119="GO","4 ","")&amp;IF($H$123="GO","5 ","")&amp;IF($H$127="GO","6 ","")&amp;IF($H$131="GO","7 ","")&amp;IF($H$135="GO","8 ","")&amp;IF($H$139="GO","9 ","")&amp;IF($H$143="GO","10 ","")&amp;IF($H$147="GO","11 ","")&amp;IF($H$151="GO","12 ","")&amp;IF($H$155="GO","13 ","")&amp;IF($H$159="GO","14 ",""))</f>
        <v>8 9 </v>
      </c>
      <c r="I164" s="52" t="str">
        <f>IF($I$161=0,"none",IF($I$115="GO","1 ","")&amp;IF($I$119="GO","4 ","")&amp;IF($I$123="GO","5 ","")&amp;IF($I$127="GO","6 ","")&amp;IF($I$131="GO","7 ","")&amp;IF($I$135="GO","8 ","")&amp;IF($I$139="GO","9 ","")&amp;IF($I$143="GO","10 ","")&amp;IF($I$147="GO","11 ","")&amp;IF($I$151="GO","12 ","")&amp;IF($I$155="GO","13 ","")&amp;IF($I$159="GO","14 ",""))</f>
        <v>8 9 </v>
      </c>
      <c r="J164" s="52" t="str">
        <f>IF($J$161=0,"none",IF($J$115="GO","1 ","")&amp;IF($J$119="GO","4 ","")&amp;IF($J$123="GO","5 ","")&amp;IF($J$127="GO","6 ","")&amp;IF($J$131="GO","7 ","")&amp;IF($J$135="GO","8 ","")&amp;IF($J$139="GO","9 ","")&amp;IF($J$143="GO","10 ","")&amp;IF($J$147="GO","11 ","")&amp;IF($J$151="GO","12 ","")&amp;IF($J$155="GO","13 ","")&amp;IF($J$159="GO","14 ",""))</f>
        <v>8 9 </v>
      </c>
    </row>
    <row r="165">
      <c r="A165" s="3" t="inlineStr">
        <is>
          <t>Gates CONDITIONAL</t>
        </is>
      </c>
      <c r="C165" s="3" t="str">
        <f>IF($C$162=0,"none",IF($C$115="CONDITIONAL","1 ","")&amp;IF($C$119="CONDITIONAL","4 ","")&amp;IF($C$123="CONDITIONAL","5 ","")&amp;IF($C$127="CONDITIONAL","6 ","")&amp;IF($C$131="CONDITIONAL","7 ","")&amp;IF($C$135="CONDITIONAL","8 ","")&amp;IF($C$139="CONDITIONAL","9 ","")&amp;IF($C$143="CONDITIONAL","10 ","")&amp;IF($C$147="CONDITIONAL","11 ","")&amp;IF($C$151="CONDITIONAL","12 ","")&amp;IF($C$155="CONDITIONAL","13 ","")&amp;IF($C$159="CONDITIONAL","14 ",""))</f>
        <v>none</v>
      </c>
      <c r="D165" s="3" t="str">
        <f>IF($D$162=0,"none",IF($D$115="CONDITIONAL","1 ","")&amp;IF($D$119="CONDITIONAL","4 ","")&amp;IF($D$123="CONDITIONAL","5 ","")&amp;IF($D$127="CONDITIONAL","6 ","")&amp;IF($D$131="CONDITIONAL","7 ","")&amp;IF($D$135="CONDITIONAL","8 ","")&amp;IF($D$139="CONDITIONAL","9 ","")&amp;IF($D$143="CONDITIONAL","10 ","")&amp;IF($D$147="CONDITIONAL","11 ","")&amp;IF($D$151="CONDITIONAL","12 ","")&amp;IF($D$155="CONDITIONAL","13 ","")&amp;IF($D$159="CONDITIONAL","14 ",""))</f>
        <v>none</v>
      </c>
      <c r="E165" s="3" t="str">
        <f>IF($E$162=0,"none",IF($E$115="CONDITIONAL","1 ","")&amp;IF($E$119="CONDITIONAL","4 ","")&amp;IF($E$123="CONDITIONAL","5 ","")&amp;IF($E$127="CONDITIONAL","6 ","")&amp;IF($E$131="CONDITIONAL","7 ","")&amp;IF($E$135="CONDITIONAL","8 ","")&amp;IF($E$139="CONDITIONAL","9 ","")&amp;IF($E$143="CONDITIONAL","10 ","")&amp;IF($E$147="CONDITIONAL","11 ","")&amp;IF($E$151="CONDITIONAL","12 ","")&amp;IF($E$155="CONDITIONAL","13 ","")&amp;IF($E$159="CONDITIONAL","14 ",""))</f>
        <v>none</v>
      </c>
      <c r="F165" s="3" t="str">
        <f>IF($F$162=0,"none",IF($F$115="CONDITIONAL","1 ","")&amp;IF($F$119="CONDITIONAL","4 ","")&amp;IF($F$123="CONDITIONAL","5 ","")&amp;IF($F$127="CONDITIONAL","6 ","")&amp;IF($F$131="CONDITIONAL","7 ","")&amp;IF($F$135="CONDITIONAL","8 ","")&amp;IF($F$139="CONDITIONAL","9 ","")&amp;IF($F$143="CONDITIONAL","10 ","")&amp;IF($F$147="CONDITIONAL","11 ","")&amp;IF($F$151="CONDITIONAL","12 ","")&amp;IF($F$155="CONDITIONAL","13 ","")&amp;IF($F$159="CONDITIONAL","14 ",""))</f>
        <v>none</v>
      </c>
      <c r="G165" s="3" t="str">
        <f>IF($G$162=0,"none",IF($G$115="CONDITIONAL","1 ","")&amp;IF($G$119="CONDITIONAL","4 ","")&amp;IF($G$123="CONDITIONAL","5 ","")&amp;IF($G$127="CONDITIONAL","6 ","")&amp;IF($G$131="CONDITIONAL","7 ","")&amp;IF($G$135="CONDITIONAL","8 ","")&amp;IF($G$139="CONDITIONAL","9 ","")&amp;IF($G$143="CONDITIONAL","10 ","")&amp;IF($G$147="CONDITIONAL","11 ","")&amp;IF($G$151="CONDITIONAL","12 ","")&amp;IF($G$155="CONDITIONAL","13 ","")&amp;IF($G$159="CONDITIONAL","14 ",""))</f>
        <v>none</v>
      </c>
      <c r="H165" s="3" t="str">
        <f>IF($H$162=0,"none",IF($H$115="CONDITIONAL","1 ","")&amp;IF($H$119="CONDITIONAL","4 ","")&amp;IF($H$123="CONDITIONAL","5 ","")&amp;IF($H$127="CONDITIONAL","6 ","")&amp;IF($H$131="CONDITIONAL","7 ","")&amp;IF($H$135="CONDITIONAL","8 ","")&amp;IF($H$139="CONDITIONAL","9 ","")&amp;IF($H$143="CONDITIONAL","10 ","")&amp;IF($H$147="CONDITIONAL","11 ","")&amp;IF($H$151="CONDITIONAL","12 ","")&amp;IF($H$155="CONDITIONAL","13 ","")&amp;IF($H$159="CONDITIONAL","14 ",""))</f>
        <v>none</v>
      </c>
      <c r="I165" s="3" t="str">
        <f>IF($I$162=0,"none",IF($I$115="CONDITIONAL","1 ","")&amp;IF($I$119="CONDITIONAL","4 ","")&amp;IF($I$123="CONDITIONAL","5 ","")&amp;IF($I$127="CONDITIONAL","6 ","")&amp;IF($I$131="CONDITIONAL","7 ","")&amp;IF($I$135="CONDITIONAL","8 ","")&amp;IF($I$139="CONDITIONAL","9 ","")&amp;IF($I$143="CONDITIONAL","10 ","")&amp;IF($I$147="CONDITIONAL","11 ","")&amp;IF($I$151="CONDITIONAL","12 ","")&amp;IF($I$155="CONDITIONAL","13 ","")&amp;IF($I$159="CONDITIONAL","14 ",""))</f>
        <v>4 </v>
      </c>
      <c r="J165" s="3" t="str">
        <f>IF($J$162=0,"none",IF($J$115="CONDITIONAL","1 ","")&amp;IF($J$119="CONDITIONAL","4 ","")&amp;IF($J$123="CONDITIONAL","5 ","")&amp;IF($J$127="CONDITIONAL","6 ","")&amp;IF($J$131="CONDITIONAL","7 ","")&amp;IF($J$135="CONDITIONAL","8 ","")&amp;IF($J$139="CONDITIONAL","9 ","")&amp;IF($J$143="CONDITIONAL","10 ","")&amp;IF($J$147="CONDITIONAL","11 ","")&amp;IF($J$151="CONDITIONAL","12 ","")&amp;IF($J$155="CONDITIONAL","13 ","")&amp;IF($J$159="CONDITIONAL","14 ",""))</f>
        <v>4 </v>
      </c>
    </row>
    <row r="166">
      <c r="A166" s="4" t="inlineStr">
        <is>
          <t>Reconciliation checks (should be 0)</t>
        </is>
      </c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3" t="inlineStr">
        <is>
          <t>Hero landed cost vs Base engine (Cat_UnitEcon / Espresso_UnitEcon L8)</t>
        </is>
      </c>
      <c r="C167" s="26">
        <f>ROUND($C$13-Cat_UnitEcon!$N$22,6)</f>
        <v>0.0</v>
      </c>
      <c r="I167" s="26">
        <f>ROUND($I$13-Espresso_UnitEcon!$N$22,6)</f>
        <v>0.0</v>
      </c>
    </row>
    <row r="168">
      <c r="A168" s="3" t="inlineStr">
        <is>
          <t>First-order contribution vs Base engine</t>
        </is>
      </c>
      <c r="C168" s="26">
        <f>ROUND($C$39-(1-Inputs!$E$132)*Cat_UnitEcon!$O$50-Inputs!$E$132*Cat_UnitEcon!$P$50,6)</f>
        <v>-0.0</v>
      </c>
      <c r="I168" s="26">
        <f>ROUND($I$39-(1-Inputs!$E$144)*Espresso_UnitEcon!$O$50-Inputs!$E$144*Espresso_UnitEcon!$P$50,6)</f>
        <v>-0.0</v>
      </c>
    </row>
    <row r="169">
      <c r="A169" s="3" t="inlineStr">
        <is>
          <t>Renewal contribution vs Base engine order (d)</t>
        </is>
      </c>
      <c r="C169" s="26">
        <f>ROUND($C$53-Cat_UnitEcon!$Q$50,6)</f>
        <v>-0.0</v>
      </c>
      <c r="I169" s="26">
        <f>ROUND($I$53-Espresso_UnitEcon!$Q$50,6)</f>
        <v>-0.0</v>
      </c>
    </row>
    <row r="170">
      <c r="A170" s="3" t="inlineStr">
        <is>
          <t>12-month LTV net of CAC vs Base cohort engine (valid when Inputs!D4 = 2)</t>
        </is>
      </c>
      <c r="C170" s="26">
        <f>IF(Inputs!$D$4=2,ROUND($C$76-Cat_Cohort!$B$167,6),"n/a")</f>
        <v>-0.0</v>
      </c>
      <c r="I170" s="26">
        <f>IF(Inputs!$D$4=2,ROUND($I$76-Espresso_Cohort!$B$167,6),"n/a")</f>
        <v>0.0</v>
      </c>
    </row>
    <row r="171">
      <c r="A171" s="3" t="inlineStr">
        <is>
          <t>24-month LTV net of CAC vs Base cohort engine (valid when Inputs!D4 = 2)</t>
        </is>
      </c>
      <c r="C171" s="26">
        <f>IF(Inputs!$D$4=2,ROUND($C$77-Cat_Cohort!$B$168,6),"n/a")</f>
        <v>-0.0</v>
      </c>
      <c r="I171" s="26">
        <f>IF(Inputs!$D$4=2,ROUND($I$77-Espresso_Cohort!$B$168,6),"n/a")</f>
        <v>0.0</v>
      </c>
    </row>
    <row r="172">
      <c r="A172" s="3" t="inlineStr">
        <is>
          <t>Cash need vs Launch_Budget (valid when Inputs!D3 = 2)</t>
        </is>
      </c>
      <c r="C172" s="26">
        <f>IF(Inputs!$D$3=2,ROUND($C$109-INDEX(Launch_Budget!$C$46:$E$46,1,Inputs!$D$5),6),"n/a")</f>
        <v>0.0</v>
      </c>
    </row>
    <row r="330">
      <c r="A330" s="18" t="inlineStr">
        <is>
          <t>Variant cohorts: 100 customers, months 1-24 (first order in month 1; CAC in month 1)</t>
        </is>
      </c>
      <c r="B330" s="44" t="n"/>
      <c r="C330" s="44" t="n"/>
      <c r="D330" s="44" t="n"/>
      <c r="E330" s="44" t="n"/>
      <c r="F330" s="44" t="n"/>
      <c r="G330" s="44" t="n"/>
      <c r="H330" s="44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</row>
    <row r="332">
      <c r="A332" s="4" t="inlineStr">
        <is>
          <t>R0 Cat base (reference)</t>
        </is>
      </c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>
      <c r="A333" s="16" t="inlineStr">
        <is>
          <t>Month</t>
        </is>
      </c>
      <c r="B333" s="16" t="inlineStr">
        <is>
          <t>Total</t>
        </is>
      </c>
      <c r="C333" s="21" t="n">
        <v>1</v>
      </c>
      <c r="D333" s="21" t="n">
        <v>2</v>
      </c>
      <c r="E333" s="21" t="n">
        <v>3</v>
      </c>
      <c r="F333" s="21" t="n">
        <v>4</v>
      </c>
      <c r="G333" s="21" t="n">
        <v>5</v>
      </c>
      <c r="H333" s="21" t="n">
        <v>6</v>
      </c>
      <c r="I333" s="21" t="n">
        <v>7</v>
      </c>
      <c r="J333" s="21" t="n">
        <v>8</v>
      </c>
      <c r="K333" s="21" t="n">
        <v>9</v>
      </c>
      <c r="L333" s="21" t="n">
        <v>10</v>
      </c>
      <c r="M333" s="21" t="n">
        <v>11</v>
      </c>
      <c r="N333" s="21" t="n">
        <v>12</v>
      </c>
      <c r="O333" s="21" t="n">
        <v>13</v>
      </c>
      <c r="P333" s="21" t="n">
        <v>14</v>
      </c>
      <c r="Q333" s="21" t="n">
        <v>15</v>
      </c>
      <c r="R333" s="21" t="n">
        <v>16</v>
      </c>
      <c r="S333" s="21" t="n">
        <v>17</v>
      </c>
      <c r="T333" s="21" t="n">
        <v>18</v>
      </c>
      <c r="U333" s="21" t="n">
        <v>19</v>
      </c>
      <c r="V333" s="21" t="n">
        <v>20</v>
      </c>
      <c r="W333" s="21" t="n">
        <v>21</v>
      </c>
      <c r="X333" s="21" t="n">
        <v>22</v>
      </c>
      <c r="Y333" s="21" t="n">
        <v>23</v>
      </c>
      <c r="Z333" s="21" t="n">
        <v>24</v>
      </c>
    </row>
    <row r="334">
      <c r="A334" s="3" t="inlineStr">
        <is>
          <t>Subscription renewal orders</t>
        </is>
      </c>
      <c r="B334" s="48">
        <f>SUM(C334:Z334)</f>
        <v>63.345135726058</v>
      </c>
      <c r="C334" s="46">
        <f>IF(AND(C$333&gt;=$C$65,MOD(C$333-$C$65,$C$66)=0),$C$61*$C$67*$C$68^((C$333-$C$65)/$C$66),0)</f>
        <v>0.0</v>
      </c>
      <c r="D334" s="46">
        <f>IF(AND(D$333&gt;=$C$65,MOD(D$333-$C$65,$C$66)=0),$C$61*$C$67*$C$68^((D$333-$C$65)/$C$66),0)</f>
        <v>0.0</v>
      </c>
      <c r="E334" s="46">
        <f>IF(AND(E$333&gt;=$C$65,MOD(E$333-$C$65,$C$66)=0),$C$61*$C$67*$C$68^((E$333-$C$65)/$C$66),0)</f>
        <v>0.0</v>
      </c>
      <c r="F334" s="46">
        <f>IF(AND(F$333&gt;=$C$65,MOD(F$333-$C$65,$C$66)=0),$C$61*$C$67*$C$68^((F$333-$C$65)/$C$66),0)</f>
        <v>14.687199855</v>
      </c>
      <c r="G334" s="46">
        <f>IF(AND(G$333&gt;=$C$65,MOD(G$333-$C$65,$C$66)=0),$C$61*$C$67*$C$68^((G$333-$C$65)/$C$66),0)</f>
        <v>0.0</v>
      </c>
      <c r="H334" s="46">
        <f>IF(AND(H$333&gt;=$C$65,MOD(H$333-$C$65,$C$66)=0),$C$61*$C$67*$C$68^((H$333-$C$65)/$C$66),0)</f>
        <v>0.0</v>
      </c>
      <c r="I334" s="46">
        <f>IF(AND(I$333&gt;=$C$65,MOD(I$333-$C$65,$C$66)=0),$C$61*$C$67*$C$68^((I$333-$C$65)/$C$66),0)</f>
        <v>12.223784242907014</v>
      </c>
      <c r="J334" s="46">
        <f>IF(AND(J$333&gt;=$C$65,MOD(J$333-$C$65,$C$66)=0),$C$61*$C$67*$C$68^((J$333-$C$65)/$C$66),0)</f>
        <v>0.0</v>
      </c>
      <c r="K334" s="46">
        <f>IF(AND(K$333&gt;=$C$65,MOD(K$333-$C$65,$C$66)=0),$C$61*$C$67*$C$68^((K$333-$C$65)/$C$66),0)</f>
        <v>0.0</v>
      </c>
      <c r="L334" s="46">
        <f>IF(AND(L$333&gt;=$C$65,MOD(L$333-$C$65,$C$66)=0),$C$61*$C$67*$C$68^((L$333-$C$65)/$C$66),0)</f>
        <v>10.173545855731927</v>
      </c>
      <c r="M334" s="46">
        <f>IF(AND(M$333&gt;=$C$65,MOD(M$333-$C$65,$C$66)=0),$C$61*$C$67*$C$68^((M$333-$C$65)/$C$66),0)</f>
        <v>0.0</v>
      </c>
      <c r="N334" s="46">
        <f>IF(AND(N$333&gt;=$C$65,MOD(N$333-$C$65,$C$66)=0),$C$61*$C$67*$C$68^((N$333-$C$65)/$C$66),0)</f>
        <v>0.0</v>
      </c>
      <c r="O334" s="46">
        <f>IF(AND(O$333&gt;=$C$65,MOD(O$333-$C$65,$C$66)=0),$C$61*$C$67*$C$68^((O$333-$C$65)/$C$66),0)</f>
        <v>8.467184402304705</v>
      </c>
      <c r="P334" s="46">
        <f>IF(AND(P$333&gt;=$C$65,MOD(P$333-$C$65,$C$66)=0),$C$61*$C$67*$C$68^((P$333-$C$65)/$C$66),0)</f>
        <v>0.0</v>
      </c>
      <c r="Q334" s="46">
        <f>IF(AND(Q$333&gt;=$C$65,MOD(Q$333-$C$65,$C$66)=0),$C$61*$C$67*$C$68^((Q$333-$C$65)/$C$66),0)</f>
        <v>0.0</v>
      </c>
      <c r="R334" s="46">
        <f>IF(AND(R$333&gt;=$C$65,MOD(R$333-$C$65,$C$66)=0),$C$61*$C$67*$C$68^((R$333-$C$65)/$C$66),0)</f>
        <v>7.047023006461314</v>
      </c>
      <c r="S334" s="46">
        <f>IF(AND(S$333&gt;=$C$65,MOD(S$333-$C$65,$C$66)=0),$C$61*$C$67*$C$68^((S$333-$C$65)/$C$66),0)</f>
        <v>0.0</v>
      </c>
      <c r="T334" s="46">
        <f>IF(AND(T$333&gt;=$C$65,MOD(T$333-$C$65,$C$66)=0),$C$61*$C$67*$C$68^((T$333-$C$65)/$C$66),0)</f>
        <v>0.0</v>
      </c>
      <c r="U334" s="46">
        <f>IF(AND(U$333&gt;=$C$65,MOD(U$333-$C$65,$C$66)=0),$C$61*$C$67*$C$68^((U$333-$C$65)/$C$66),0)</f>
        <v>5.865058665791883</v>
      </c>
      <c r="V334" s="46">
        <f>IF(AND(V$333&gt;=$C$65,MOD(V$333-$C$65,$C$66)=0),$C$61*$C$67*$C$68^((V$333-$C$65)/$C$66),0)</f>
        <v>0.0</v>
      </c>
      <c r="W334" s="46">
        <f>IF(AND(W$333&gt;=$C$65,MOD(W$333-$C$65,$C$66)=0),$C$61*$C$67*$C$68^((W$333-$C$65)/$C$66),0)</f>
        <v>0.0</v>
      </c>
      <c r="X334" s="46">
        <f>IF(AND(X$333&gt;=$C$65,MOD(X$333-$C$65,$C$66)=0),$C$61*$C$67*$C$68^((X$333-$C$65)/$C$66),0)</f>
        <v>4.8813396978611525</v>
      </c>
      <c r="Y334" s="46">
        <f>IF(AND(Y$333&gt;=$C$65,MOD(Y$333-$C$65,$C$66)=0),$C$61*$C$67*$C$68^((Y$333-$C$65)/$C$66),0)</f>
        <v>0.0</v>
      </c>
      <c r="Z334" s="46">
        <f>IF(AND(Z$333&gt;=$C$65,MOD(Z$333-$C$65,$C$66)=0),$C$61*$C$67*$C$68^((Z$333-$C$65)/$C$66),0)</f>
        <v>0.0</v>
      </c>
    </row>
    <row r="335">
      <c r="A335" s="3" t="inlineStr">
        <is>
          <t>Occasional repeat orders</t>
        </is>
      </c>
      <c r="B335" s="48">
        <f>SUM(C335:Z335)</f>
        <v>38.133759999999995</v>
      </c>
      <c r="C335" s="46">
        <f>IF(AND(C$333&gt;=$C$70,MOD(C$333-$C$70,$C$71)=0),$C$62*$C$72^((C$333-$C$70)/$C$71),0)</f>
        <v>0.0</v>
      </c>
      <c r="D335" s="46">
        <f>IF(AND(D$333&gt;=$C$70,MOD(D$333-$C$70,$C$71)=0),$C$62*$C$72^((D$333-$C$70)/$C$71),0)</f>
        <v>0.0</v>
      </c>
      <c r="E335" s="46">
        <f>IF(AND(E$333&gt;=$C$70,MOD(E$333-$C$70,$C$71)=0),$C$62*$C$72^((E$333-$C$70)/$C$71),0)</f>
        <v>0.0</v>
      </c>
      <c r="F335" s="46">
        <f>IF(AND(F$333&gt;=$C$70,MOD(F$333-$C$70,$C$71)=0),$C$62*$C$72^((F$333-$C$70)/$C$71),0)</f>
        <v>16.0</v>
      </c>
      <c r="G335" s="46">
        <f>IF(AND(G$333&gt;=$C$70,MOD(G$333-$C$70,$C$71)=0),$C$62*$C$72^((G$333-$C$70)/$C$71),0)</f>
        <v>0.0</v>
      </c>
      <c r="H335" s="46">
        <f>IF(AND(H$333&gt;=$C$70,MOD(H$333-$C$70,$C$71)=0),$C$62*$C$72^((H$333-$C$70)/$C$71),0)</f>
        <v>0.0</v>
      </c>
      <c r="I335" s="46">
        <f>IF(AND(I$333&gt;=$C$70,MOD(I$333-$C$70,$C$71)=0),$C$62*$C$72^((I$333-$C$70)/$C$71),0)</f>
        <v>0.0</v>
      </c>
      <c r="J335" s="46">
        <f>IF(AND(J$333&gt;=$C$70,MOD(J$333-$C$70,$C$71)=0),$C$62*$C$72^((J$333-$C$70)/$C$71),0)</f>
        <v>9.6</v>
      </c>
      <c r="K335" s="46">
        <f>IF(AND(K$333&gt;=$C$70,MOD(K$333-$C$70,$C$71)=0),$C$62*$C$72^((K$333-$C$70)/$C$71),0)</f>
        <v>0.0</v>
      </c>
      <c r="L335" s="46">
        <f>IF(AND(L$333&gt;=$C$70,MOD(L$333-$C$70,$C$71)=0),$C$62*$C$72^((L$333-$C$70)/$C$71),0)</f>
        <v>0.0</v>
      </c>
      <c r="M335" s="46">
        <f>IF(AND(M$333&gt;=$C$70,MOD(M$333-$C$70,$C$71)=0),$C$62*$C$72^((M$333-$C$70)/$C$71),0)</f>
        <v>0.0</v>
      </c>
      <c r="N335" s="46">
        <f>IF(AND(N$333&gt;=$C$70,MOD(N$333-$C$70,$C$71)=0),$C$62*$C$72^((N$333-$C$70)/$C$71),0)</f>
        <v>5.76</v>
      </c>
      <c r="O335" s="46">
        <f>IF(AND(O$333&gt;=$C$70,MOD(O$333-$C$70,$C$71)=0),$C$62*$C$72^((O$333-$C$70)/$C$71),0)</f>
        <v>0.0</v>
      </c>
      <c r="P335" s="46">
        <f>IF(AND(P$333&gt;=$C$70,MOD(P$333-$C$70,$C$71)=0),$C$62*$C$72^((P$333-$C$70)/$C$71),0)</f>
        <v>0.0</v>
      </c>
      <c r="Q335" s="46">
        <f>IF(AND(Q$333&gt;=$C$70,MOD(Q$333-$C$70,$C$71)=0),$C$62*$C$72^((Q$333-$C$70)/$C$71),0)</f>
        <v>0.0</v>
      </c>
      <c r="R335" s="46">
        <f>IF(AND(R$333&gt;=$C$70,MOD(R$333-$C$70,$C$71)=0),$C$62*$C$72^((R$333-$C$70)/$C$71),0)</f>
        <v>3.4559999999999995</v>
      </c>
      <c r="S335" s="46">
        <f>IF(AND(S$333&gt;=$C$70,MOD(S$333-$C$70,$C$71)=0),$C$62*$C$72^((S$333-$C$70)/$C$71),0)</f>
        <v>0.0</v>
      </c>
      <c r="T335" s="46">
        <f>IF(AND(T$333&gt;=$C$70,MOD(T$333-$C$70,$C$71)=0),$C$62*$C$72^((T$333-$C$70)/$C$71),0)</f>
        <v>0.0</v>
      </c>
      <c r="U335" s="46">
        <f>IF(AND(U$333&gt;=$C$70,MOD(U$333-$C$70,$C$71)=0),$C$62*$C$72^((U$333-$C$70)/$C$71),0)</f>
        <v>0.0</v>
      </c>
      <c r="V335" s="46">
        <f>IF(AND(V$333&gt;=$C$70,MOD(V$333-$C$70,$C$71)=0),$C$62*$C$72^((V$333-$C$70)/$C$71),0)</f>
        <v>2.0736</v>
      </c>
      <c r="W335" s="46">
        <f>IF(AND(W$333&gt;=$C$70,MOD(W$333-$C$70,$C$71)=0),$C$62*$C$72^((W$333-$C$70)/$C$71),0)</f>
        <v>0.0</v>
      </c>
      <c r="X335" s="46">
        <f>IF(AND(X$333&gt;=$C$70,MOD(X$333-$C$70,$C$71)=0),$C$62*$C$72^((X$333-$C$70)/$C$71),0)</f>
        <v>0.0</v>
      </c>
      <c r="Y335" s="46">
        <f>IF(AND(Y$333&gt;=$C$70,MOD(Y$333-$C$70,$C$71)=0),$C$62*$C$72^((Y$333-$C$70)/$C$71),0)</f>
        <v>0.0</v>
      </c>
      <c r="Z335" s="46">
        <f>IF(AND(Z$333&gt;=$C$70,MOD(Z$333-$C$70,$C$71)=0),$C$62*$C$72^((Z$333-$C$70)/$C$71),0)</f>
        <v>1.2441599999999997</v>
      </c>
    </row>
    <row r="336">
      <c r="A336" s="3" t="inlineStr">
        <is>
          <t>Contribution before CAC</t>
        </is>
      </c>
      <c r="B336" s="30">
        <f>SUM(C336:Z336)</f>
        <v>214.99872120210378</v>
      </c>
      <c r="C336" s="33">
        <f>IF(C$333=1,$C$58*$C$39,0)+C334*$C$53+C335*$C$56</f>
        <v>499.9196325</v>
      </c>
      <c r="D336" s="33">
        <f>IF(D$333=1,$C$58*$C$39,0)+D334*$C$53+D335*$C$56</f>
        <v>0.0</v>
      </c>
      <c r="E336" s="33">
        <f>IF(E$333=1,$C$58*$C$39,0)+E334*$C$53+E335*$C$56</f>
        <v>0.0</v>
      </c>
      <c r="F336" s="33">
        <f>IF(F$333=1,$C$58*$C$39,0)+F334*$C$53+F335*$C$56</f>
        <v>-78.88714558259834</v>
      </c>
      <c r="G336" s="33">
        <f>IF(G$333=1,$C$58*$C$39,0)+G334*$C$53+G335*$C$56</f>
        <v>0.0</v>
      </c>
      <c r="H336" s="33">
        <f>IF(H$333=1,$C$58*$C$39,0)+H334*$C$53+H335*$C$56</f>
        <v>0.0</v>
      </c>
      <c r="I336" s="33">
        <f>IF(I$333=1,$C$58*$C$39,0)+I334*$C$53+I335*$C$56</f>
        <v>-41.79705438502532</v>
      </c>
      <c r="J336" s="33">
        <f>IF(J$333=1,$C$58*$C$39,0)+J334*$C$53+J335*$C$56</f>
        <v>-17.200128</v>
      </c>
      <c r="K336" s="33">
        <f>IF(K$333=1,$C$58*$C$39,0)+K334*$C$53+K335*$C$56</f>
        <v>0.0</v>
      </c>
      <c r="L336" s="33">
        <f>IF(L$333=1,$C$58*$C$39,0)+L334*$C$53+L335*$C$56</f>
        <v>-34.78662916251302</v>
      </c>
      <c r="M336" s="33">
        <f>IF(M$333=1,$C$58*$C$39,0)+M334*$C$53+M335*$C$56</f>
        <v>0.0</v>
      </c>
      <c r="N336" s="33">
        <f>IF(N$333=1,$C$58*$C$39,0)+N334*$C$53+N335*$C$56</f>
        <v>-10.320076799999999</v>
      </c>
      <c r="O336" s="33">
        <f>IF(O$333=1,$C$58*$C$39,0)+O334*$C$53+O335*$C$56</f>
        <v>-28.952029904857344</v>
      </c>
      <c r="P336" s="33">
        <f>IF(P$333=1,$C$58*$C$39,0)+P334*$C$53+P335*$C$56</f>
        <v>0.0</v>
      </c>
      <c r="Q336" s="33">
        <f>IF(Q$333=1,$C$58*$C$39,0)+Q334*$C$53+Q335*$C$56</f>
        <v>0.0</v>
      </c>
      <c r="R336" s="33">
        <f>IF(R$333=1,$C$58*$C$39,0)+R334*$C$53+R335*$C$56</f>
        <v>-30.28808688049933</v>
      </c>
      <c r="S336" s="33">
        <f>IF(S$333=1,$C$58*$C$39,0)+S334*$C$53+S335*$C$56</f>
        <v>0.0</v>
      </c>
      <c r="T336" s="33">
        <f>IF(T$333=1,$C$58*$C$39,0)+T334*$C$53+T335*$C$56</f>
        <v>0.0</v>
      </c>
      <c r="U336" s="33">
        <f>IF(U$333=1,$C$58*$C$39,0)+U334*$C$53+U335*$C$56</f>
        <v>-20.054524127232845</v>
      </c>
      <c r="V336" s="33">
        <f>IF(V$333=1,$C$58*$C$39,0)+V334*$C$53+V335*$C$56</f>
        <v>-3.7152276479999995</v>
      </c>
      <c r="W336" s="33">
        <f>IF(W$333=1,$C$58*$C$39,0)+W334*$C$53+W335*$C$56</f>
        <v>0.0</v>
      </c>
      <c r="X336" s="33">
        <f>IF(X$333=1,$C$58*$C$39,0)+X334*$C$53+X335*$C$56</f>
        <v>-16.69087221837</v>
      </c>
      <c r="Y336" s="33">
        <f>IF(Y$333=1,$C$58*$C$39,0)+Y334*$C$53+Y335*$C$56</f>
        <v>0.0</v>
      </c>
      <c r="Z336" s="33">
        <f>IF(Z$333=1,$C$58*$C$39,0)+Z334*$C$53+Z335*$C$56</f>
        <v>-2.2291365887999994</v>
      </c>
    </row>
    <row r="337">
      <c r="A337" s="3" t="inlineStr">
        <is>
          <t>CAC</t>
        </is>
      </c>
      <c r="B337" s="30">
        <f>SUM(C337:Z337)</f>
        <v>-4500.0</v>
      </c>
      <c r="C337" s="33">
        <f>IF(C$333=1,-$C$58*$C$21,0)</f>
        <v>-4500.0</v>
      </c>
      <c r="D337" s="33">
        <f>IF(D$333=1,-$C$58*$C$21,0)</f>
        <v>0.0</v>
      </c>
      <c r="E337" s="33">
        <f>IF(E$333=1,-$C$58*$C$21,0)</f>
        <v>0.0</v>
      </c>
      <c r="F337" s="33">
        <f>IF(F$333=1,-$C$58*$C$21,0)</f>
        <v>0.0</v>
      </c>
      <c r="G337" s="33">
        <f>IF(G$333=1,-$C$58*$C$21,0)</f>
        <v>0.0</v>
      </c>
      <c r="H337" s="33">
        <f>IF(H$333=1,-$C$58*$C$21,0)</f>
        <v>0.0</v>
      </c>
      <c r="I337" s="33">
        <f>IF(I$333=1,-$C$58*$C$21,0)</f>
        <v>0.0</v>
      </c>
      <c r="J337" s="33">
        <f>IF(J$333=1,-$C$58*$C$21,0)</f>
        <v>0.0</v>
      </c>
      <c r="K337" s="33">
        <f>IF(K$333=1,-$C$58*$C$21,0)</f>
        <v>0.0</v>
      </c>
      <c r="L337" s="33">
        <f>IF(L$333=1,-$C$58*$C$21,0)</f>
        <v>0.0</v>
      </c>
      <c r="M337" s="33">
        <f>IF(M$333=1,-$C$58*$C$21,0)</f>
        <v>0.0</v>
      </c>
      <c r="N337" s="33">
        <f>IF(N$333=1,-$C$58*$C$21,0)</f>
        <v>0.0</v>
      </c>
      <c r="O337" s="33">
        <f>IF(O$333=1,-$C$58*$C$21,0)</f>
        <v>0.0</v>
      </c>
      <c r="P337" s="33">
        <f>IF(P$333=1,-$C$58*$C$21,0)</f>
        <v>0.0</v>
      </c>
      <c r="Q337" s="33">
        <f>IF(Q$333=1,-$C$58*$C$21,0)</f>
        <v>0.0</v>
      </c>
      <c r="R337" s="33">
        <f>IF(R$333=1,-$C$58*$C$21,0)</f>
        <v>0.0</v>
      </c>
      <c r="S337" s="33">
        <f>IF(S$333=1,-$C$58*$C$21,0)</f>
        <v>0.0</v>
      </c>
      <c r="T337" s="33">
        <f>IF(T$333=1,-$C$58*$C$21,0)</f>
        <v>0.0</v>
      </c>
      <c r="U337" s="33">
        <f>IF(U$333=1,-$C$58*$C$21,0)</f>
        <v>0.0</v>
      </c>
      <c r="V337" s="33">
        <f>IF(V$333=1,-$C$58*$C$21,0)</f>
        <v>0.0</v>
      </c>
      <c r="W337" s="33">
        <f>IF(W$333=1,-$C$58*$C$21,0)</f>
        <v>0.0</v>
      </c>
      <c r="X337" s="33">
        <f>IF(X$333=1,-$C$58*$C$21,0)</f>
        <v>0.0</v>
      </c>
      <c r="Y337" s="33">
        <f>IF(Y$333=1,-$C$58*$C$21,0)</f>
        <v>0.0</v>
      </c>
      <c r="Z337" s="33">
        <f>IF(Z$333=1,-$C$58*$C$21,0)</f>
        <v>0.0</v>
      </c>
    </row>
    <row r="338">
      <c r="A338" s="16" t="inlineStr">
        <is>
          <t>Cumulative contribution after CAC</t>
        </is>
      </c>
      <c r="C338" s="30">
        <f>C336+C337</f>
        <v>-4000.0803675</v>
      </c>
      <c r="D338" s="30">
        <f>C338+D336+D337</f>
        <v>-4000.0803675</v>
      </c>
      <c r="E338" s="30">
        <f>D338+E336+E337</f>
        <v>-4000.0803675</v>
      </c>
      <c r="F338" s="30">
        <f>E338+F336+F337</f>
        <v>-4078.9675130825985</v>
      </c>
      <c r="G338" s="30">
        <f>F338+G336+G337</f>
        <v>-4078.9675130825985</v>
      </c>
      <c r="H338" s="30">
        <f>G338+H336+H337</f>
        <v>-4078.9675130825985</v>
      </c>
      <c r="I338" s="30">
        <f>H338+I336+I337</f>
        <v>-4120.764567467624</v>
      </c>
      <c r="J338" s="30">
        <f>I338+J336+J337</f>
        <v>-4137.964695467625</v>
      </c>
      <c r="K338" s="30">
        <f>J338+K336+K337</f>
        <v>-4137.964695467625</v>
      </c>
      <c r="L338" s="30">
        <f>K338+L336+L337</f>
        <v>-4172.751324630138</v>
      </c>
      <c r="M338" s="30">
        <f>L338+M336+M337</f>
        <v>-4172.751324630138</v>
      </c>
      <c r="N338" s="30">
        <f>M338+N336+N337</f>
        <v>-4183.0714014301375</v>
      </c>
      <c r="O338" s="30">
        <f>N338+O336+O337</f>
        <v>-4212.023431334995</v>
      </c>
      <c r="P338" s="30">
        <f>O338+P336+P337</f>
        <v>-4212.023431334995</v>
      </c>
      <c r="Q338" s="30">
        <f>P338+Q336+Q337</f>
        <v>-4212.023431334995</v>
      </c>
      <c r="R338" s="30">
        <f>Q338+R336+R337</f>
        <v>-4242.311518215494</v>
      </c>
      <c r="S338" s="30">
        <f>R338+S336+S337</f>
        <v>-4242.311518215494</v>
      </c>
      <c r="T338" s="30">
        <f>S338+T336+T337</f>
        <v>-4242.311518215494</v>
      </c>
      <c r="U338" s="30">
        <f>T338+U336+U337</f>
        <v>-4262.366042342727</v>
      </c>
      <c r="V338" s="30">
        <f>U338+V336+V337</f>
        <v>-4266.081269990727</v>
      </c>
      <c r="W338" s="30">
        <f>V338+W336+W337</f>
        <v>-4266.081269990727</v>
      </c>
      <c r="X338" s="30">
        <f>W338+X336+X337</f>
        <v>-4282.772142209097</v>
      </c>
      <c r="Y338" s="30">
        <f>X338+Y336+Y337</f>
        <v>-4282.772142209097</v>
      </c>
      <c r="Z338" s="30">
        <f>Y338+Z336+Z337</f>
        <v>-4285.001278797898</v>
      </c>
    </row>
    <row r="339">
      <c r="A339" s="3" t="inlineStr">
        <is>
          <t>Cumulative contribution before CAC per customer</t>
        </is>
      </c>
      <c r="C339" s="26">
        <f>SUM($C336:C336)/$C$58</f>
        <v>4.999196325</v>
      </c>
      <c r="D339" s="26">
        <f>SUM($C336:D336)/$C$58</f>
        <v>4.999196325</v>
      </c>
      <c r="E339" s="26">
        <f>SUM($C336:E336)/$C$58</f>
        <v>4.999196325</v>
      </c>
      <c r="F339" s="26">
        <f>SUM($C336:F336)/$C$58</f>
        <v>4.210324869174016</v>
      </c>
      <c r="G339" s="26">
        <f>SUM($C336:G336)/$C$58</f>
        <v>4.210324869174016</v>
      </c>
      <c r="H339" s="26">
        <f>SUM($C336:H336)/$C$58</f>
        <v>4.210324869174016</v>
      </c>
      <c r="I339" s="26">
        <f>SUM($C336:I336)/$C$58</f>
        <v>3.792354325323763</v>
      </c>
      <c r="J339" s="26">
        <f>SUM($C336:J336)/$C$58</f>
        <v>3.620353045323763</v>
      </c>
      <c r="K339" s="26">
        <f>SUM($C336:K336)/$C$58</f>
        <v>3.620353045323763</v>
      </c>
      <c r="L339" s="26">
        <f>SUM($C336:L336)/$C$58</f>
        <v>3.272486753698633</v>
      </c>
      <c r="M339" s="26">
        <f>SUM($C336:M336)/$C$58</f>
        <v>3.272486753698633</v>
      </c>
      <c r="N339" s="26">
        <f>SUM($C336:N336)/$C$58</f>
        <v>3.1692859856986333</v>
      </c>
      <c r="O339" s="26">
        <f>SUM($C336:O336)/$C$58</f>
        <v>2.87976568665006</v>
      </c>
      <c r="P339" s="26">
        <f>SUM($C336:P336)/$C$58</f>
        <v>2.87976568665006</v>
      </c>
      <c r="Q339" s="26">
        <f>SUM($C336:Q336)/$C$58</f>
        <v>2.87976568665006</v>
      </c>
      <c r="R339" s="26">
        <f>SUM($C336:R336)/$C$58</f>
        <v>2.576884817845066</v>
      </c>
      <c r="S339" s="26">
        <f>SUM($C336:S336)/$C$58</f>
        <v>2.576884817845066</v>
      </c>
      <c r="T339" s="26">
        <f>SUM($C336:T336)/$C$58</f>
        <v>2.576884817845066</v>
      </c>
      <c r="U339" s="26">
        <f>SUM($C336:U336)/$C$58</f>
        <v>2.3763395765727378</v>
      </c>
      <c r="V339" s="26">
        <f>SUM($C336:V336)/$C$58</f>
        <v>2.3391873000927377</v>
      </c>
      <c r="W339" s="26">
        <f>SUM($C336:W336)/$C$58</f>
        <v>2.3391873000927377</v>
      </c>
      <c r="X339" s="26">
        <f>SUM($C336:X336)/$C$58</f>
        <v>2.172278577909038</v>
      </c>
      <c r="Y339" s="26">
        <f>SUM($C336:Y336)/$C$58</f>
        <v>2.172278577909038</v>
      </c>
      <c r="Z339" s="26">
        <f>SUM($C336:Z336)/$C$58</f>
        <v>2.149987212021038</v>
      </c>
    </row>
    <row r="340">
      <c r="A340" s="3" t="inlineStr">
        <is>
          <t>Payback helper (month if cumulative &gt;= 0, else 99)</t>
        </is>
      </c>
      <c r="C340" s="51">
        <f>IF(C338&gt;=0,C$333,99)</f>
        <v>99.0</v>
      </c>
      <c r="D340" s="51">
        <f>IF(D338&gt;=0,D$333,99)</f>
        <v>99.0</v>
      </c>
      <c r="E340" s="51">
        <f>IF(E338&gt;=0,E$333,99)</f>
        <v>99.0</v>
      </c>
      <c r="F340" s="51">
        <f>IF(F338&gt;=0,F$333,99)</f>
        <v>99.0</v>
      </c>
      <c r="G340" s="51">
        <f>IF(G338&gt;=0,G$333,99)</f>
        <v>99.0</v>
      </c>
      <c r="H340" s="51">
        <f>IF(H338&gt;=0,H$333,99)</f>
        <v>99.0</v>
      </c>
      <c r="I340" s="51">
        <f>IF(I338&gt;=0,I$333,99)</f>
        <v>99.0</v>
      </c>
      <c r="J340" s="51">
        <f>IF(J338&gt;=0,J$333,99)</f>
        <v>99.0</v>
      </c>
      <c r="K340" s="51">
        <f>IF(K338&gt;=0,K$333,99)</f>
        <v>99.0</v>
      </c>
      <c r="L340" s="51">
        <f>IF(L338&gt;=0,L$333,99)</f>
        <v>99.0</v>
      </c>
      <c r="M340" s="51">
        <f>IF(M338&gt;=0,M$333,99)</f>
        <v>99.0</v>
      </c>
      <c r="N340" s="51">
        <f>IF(N338&gt;=0,N$333,99)</f>
        <v>99.0</v>
      </c>
      <c r="O340" s="51">
        <f>IF(O338&gt;=0,O$333,99)</f>
        <v>99.0</v>
      </c>
      <c r="P340" s="51">
        <f>IF(P338&gt;=0,P$333,99)</f>
        <v>99.0</v>
      </c>
      <c r="Q340" s="51">
        <f>IF(Q338&gt;=0,Q$333,99)</f>
        <v>99.0</v>
      </c>
      <c r="R340" s="51">
        <f>IF(R338&gt;=0,R$333,99)</f>
        <v>99.0</v>
      </c>
      <c r="S340" s="51">
        <f>IF(S338&gt;=0,S$333,99)</f>
        <v>99.0</v>
      </c>
      <c r="T340" s="51">
        <f>IF(T338&gt;=0,T$333,99)</f>
        <v>99.0</v>
      </c>
      <c r="U340" s="51">
        <f>IF(U338&gt;=0,U$333,99)</f>
        <v>99.0</v>
      </c>
      <c r="V340" s="51">
        <f>IF(V338&gt;=0,V$333,99)</f>
        <v>99.0</v>
      </c>
      <c r="W340" s="51">
        <f>IF(W338&gt;=0,W$333,99)</f>
        <v>99.0</v>
      </c>
      <c r="X340" s="51">
        <f>IF(X338&gt;=0,X$333,99)</f>
        <v>99.0</v>
      </c>
      <c r="Y340" s="51">
        <f>IF(Y338&gt;=0,Y$333,99)</f>
        <v>99.0</v>
      </c>
      <c r="Z340" s="51">
        <f>IF(Z338&gt;=0,Z$333,99)</f>
        <v>99.0</v>
      </c>
    </row>
    <row r="342">
      <c r="A342" s="4" t="inlineStr">
        <is>
          <t>R1 $79 easy-clean system</t>
        </is>
      </c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>
      <c r="A343" s="16" t="inlineStr">
        <is>
          <t>Month</t>
        </is>
      </c>
      <c r="B343" s="16" t="inlineStr">
        <is>
          <t>Total</t>
        </is>
      </c>
      <c r="C343" s="21" t="n">
        <v>1</v>
      </c>
      <c r="D343" s="21" t="n">
        <v>2</v>
      </c>
      <c r="E343" s="21" t="n">
        <v>3</v>
      </c>
      <c r="F343" s="21" t="n">
        <v>4</v>
      </c>
      <c r="G343" s="21" t="n">
        <v>5</v>
      </c>
      <c r="H343" s="21" t="n">
        <v>6</v>
      </c>
      <c r="I343" s="21" t="n">
        <v>7</v>
      </c>
      <c r="J343" s="21" t="n">
        <v>8</v>
      </c>
      <c r="K343" s="21" t="n">
        <v>9</v>
      </c>
      <c r="L343" s="21" t="n">
        <v>10</v>
      </c>
      <c r="M343" s="21" t="n">
        <v>11</v>
      </c>
      <c r="N343" s="21" t="n">
        <v>12</v>
      </c>
      <c r="O343" s="21" t="n">
        <v>13</v>
      </c>
      <c r="P343" s="21" t="n">
        <v>14</v>
      </c>
      <c r="Q343" s="21" t="n">
        <v>15</v>
      </c>
      <c r="R343" s="21" t="n">
        <v>16</v>
      </c>
      <c r="S343" s="21" t="n">
        <v>17</v>
      </c>
      <c r="T343" s="21" t="n">
        <v>18</v>
      </c>
      <c r="U343" s="21" t="n">
        <v>19</v>
      </c>
      <c r="V343" s="21" t="n">
        <v>20</v>
      </c>
      <c r="W343" s="21" t="n">
        <v>21</v>
      </c>
      <c r="X343" s="21" t="n">
        <v>22</v>
      </c>
      <c r="Y343" s="21" t="n">
        <v>23</v>
      </c>
      <c r="Z343" s="21" t="n">
        <v>24</v>
      </c>
    </row>
    <row r="344">
      <c r="A344" s="3" t="inlineStr">
        <is>
          <t>Subscription renewal orders</t>
        </is>
      </c>
      <c r="B344" s="48">
        <f>SUM(C344:Z344)</f>
        <v>48.657935871057994</v>
      </c>
      <c r="C344" s="46">
        <f>IF(AND(C$343&gt;=$D$65,MOD(C$343-$D$65,$D$66)=0),$D$61*$D$67*$D$68^((C$343-$D$65)/$D$66),0)</f>
        <v>0.0</v>
      </c>
      <c r="D344" s="46">
        <f>IF(AND(D$343&gt;=$D$65,MOD(D$343-$D$65,$D$66)=0),$D$61*$D$67*$D$68^((D$343-$D$65)/$D$66),0)</f>
        <v>0.0</v>
      </c>
      <c r="E344" s="46">
        <f>IF(AND(E$343&gt;=$D$65,MOD(E$343-$D$65,$D$66)=0),$D$61*$D$67*$D$68^((E$343-$D$65)/$D$66),0)</f>
        <v>0.0</v>
      </c>
      <c r="F344" s="46">
        <f>IF(AND(F$343&gt;=$D$65,MOD(F$343-$D$65,$D$66)=0),$D$61*$D$67*$D$68^((F$343-$D$65)/$D$66),0)</f>
        <v>0.0</v>
      </c>
      <c r="G344" s="46">
        <f>IF(AND(G$343&gt;=$D$65,MOD(G$343-$D$65,$D$66)=0),$D$61*$D$67*$D$68^((G$343-$D$65)/$D$66),0)</f>
        <v>0.0</v>
      </c>
      <c r="H344" s="46">
        <f>IF(AND(H$343&gt;=$D$65,MOD(H$343-$D$65,$D$66)=0),$D$61*$D$67*$D$68^((H$343-$D$65)/$D$66),0)</f>
        <v>0.0</v>
      </c>
      <c r="I344" s="46">
        <f>IF(AND(I$343&gt;=$D$65,MOD(I$343-$D$65,$D$66)=0),$D$61*$D$67*$D$68^((I$343-$D$65)/$D$66),0)</f>
        <v>12.223784242907014</v>
      </c>
      <c r="J344" s="46">
        <f>IF(AND(J$343&gt;=$D$65,MOD(J$343-$D$65,$D$66)=0),$D$61*$D$67*$D$68^((J$343-$D$65)/$D$66),0)</f>
        <v>0.0</v>
      </c>
      <c r="K344" s="46">
        <f>IF(AND(K$343&gt;=$D$65,MOD(K$343-$D$65,$D$66)=0),$D$61*$D$67*$D$68^((K$343-$D$65)/$D$66),0)</f>
        <v>0.0</v>
      </c>
      <c r="L344" s="46">
        <f>IF(AND(L$343&gt;=$D$65,MOD(L$343-$D$65,$D$66)=0),$D$61*$D$67*$D$68^((L$343-$D$65)/$D$66),0)</f>
        <v>10.173545855731927</v>
      </c>
      <c r="M344" s="46">
        <f>IF(AND(M$343&gt;=$D$65,MOD(M$343-$D$65,$D$66)=0),$D$61*$D$67*$D$68^((M$343-$D$65)/$D$66),0)</f>
        <v>0.0</v>
      </c>
      <c r="N344" s="46">
        <f>IF(AND(N$343&gt;=$D$65,MOD(N$343-$D$65,$D$66)=0),$D$61*$D$67*$D$68^((N$343-$D$65)/$D$66),0)</f>
        <v>0.0</v>
      </c>
      <c r="O344" s="46">
        <f>IF(AND(O$343&gt;=$D$65,MOD(O$343-$D$65,$D$66)=0),$D$61*$D$67*$D$68^((O$343-$D$65)/$D$66),0)</f>
        <v>8.467184402304703</v>
      </c>
      <c r="P344" s="46">
        <f>IF(AND(P$343&gt;=$D$65,MOD(P$343-$D$65,$D$66)=0),$D$61*$D$67*$D$68^((P$343-$D$65)/$D$66),0)</f>
        <v>0.0</v>
      </c>
      <c r="Q344" s="46">
        <f>IF(AND(Q$343&gt;=$D$65,MOD(Q$343-$D$65,$D$66)=0),$D$61*$D$67*$D$68^((Q$343-$D$65)/$D$66),0)</f>
        <v>0.0</v>
      </c>
      <c r="R344" s="46">
        <f>IF(AND(R$343&gt;=$D$65,MOD(R$343-$D$65,$D$66)=0),$D$61*$D$67*$D$68^((R$343-$D$65)/$D$66),0)</f>
        <v>7.047023006461315</v>
      </c>
      <c r="S344" s="46">
        <f>IF(AND(S$343&gt;=$D$65,MOD(S$343-$D$65,$D$66)=0),$D$61*$D$67*$D$68^((S$343-$D$65)/$D$66),0)</f>
        <v>0.0</v>
      </c>
      <c r="T344" s="46">
        <f>IF(AND(T$343&gt;=$D$65,MOD(T$343-$D$65,$D$66)=0),$D$61*$D$67*$D$68^((T$343-$D$65)/$D$66),0)</f>
        <v>0.0</v>
      </c>
      <c r="U344" s="46">
        <f>IF(AND(U$343&gt;=$D$65,MOD(U$343-$D$65,$D$66)=0),$D$61*$D$67*$D$68^((U$343-$D$65)/$D$66),0)</f>
        <v>5.865058665791882</v>
      </c>
      <c r="V344" s="46">
        <f>IF(AND(V$343&gt;=$D$65,MOD(V$343-$D$65,$D$66)=0),$D$61*$D$67*$D$68^((V$343-$D$65)/$D$66),0)</f>
        <v>0.0</v>
      </c>
      <c r="W344" s="46">
        <f>IF(AND(W$343&gt;=$D$65,MOD(W$343-$D$65,$D$66)=0),$D$61*$D$67*$D$68^((W$343-$D$65)/$D$66),0)</f>
        <v>0.0</v>
      </c>
      <c r="X344" s="46">
        <f>IF(AND(X$343&gt;=$D$65,MOD(X$343-$D$65,$D$66)=0),$D$61*$D$67*$D$68^((X$343-$D$65)/$D$66),0)</f>
        <v>4.8813396978611525</v>
      </c>
      <c r="Y344" s="46">
        <f>IF(AND(Y$343&gt;=$D$65,MOD(Y$343-$D$65,$D$66)=0),$D$61*$D$67*$D$68^((Y$343-$D$65)/$D$66),0)</f>
        <v>0.0</v>
      </c>
      <c r="Z344" s="46">
        <f>IF(AND(Z$343&gt;=$D$65,MOD(Z$343-$D$65,$D$66)=0),$D$61*$D$67*$D$68^((Z$343-$D$65)/$D$66),0)</f>
        <v>0.0</v>
      </c>
    </row>
    <row r="345">
      <c r="A345" s="3" t="inlineStr">
        <is>
          <t>Occasional repeat orders</t>
        </is>
      </c>
      <c r="B345" s="48">
        <f>SUM(C345:Z345)</f>
        <v>36.8896</v>
      </c>
      <c r="C345" s="46">
        <f>IF(AND(C$343&gt;=$D$70,MOD(C$343-$D$70,$D$71)=0),$D$62*$D$72^((C$343-$D$70)/$D$71),0)</f>
        <v>0.0</v>
      </c>
      <c r="D345" s="46">
        <f>IF(AND(D$343&gt;=$D$70,MOD(D$343-$D$70,$D$71)=0),$D$62*$D$72^((D$343-$D$70)/$D$71),0)</f>
        <v>0.0</v>
      </c>
      <c r="E345" s="46">
        <f>IF(AND(E$343&gt;=$D$70,MOD(E$343-$D$70,$D$71)=0),$D$62*$D$72^((E$343-$D$70)/$D$71),0)</f>
        <v>0.0</v>
      </c>
      <c r="F345" s="46">
        <f>IF(AND(F$343&gt;=$D$70,MOD(F$343-$D$70,$D$71)=0),$D$62*$D$72^((F$343-$D$70)/$D$71),0)</f>
        <v>0.0</v>
      </c>
      <c r="G345" s="46">
        <f>IF(AND(G$343&gt;=$D$70,MOD(G$343-$D$70,$D$71)=0),$D$62*$D$72^((G$343-$D$70)/$D$71),0)</f>
        <v>0.0</v>
      </c>
      <c r="H345" s="46">
        <f>IF(AND(H$343&gt;=$D$70,MOD(H$343-$D$70,$D$71)=0),$D$62*$D$72^((H$343-$D$70)/$D$71),0)</f>
        <v>0.0</v>
      </c>
      <c r="I345" s="46">
        <f>IF(AND(I$343&gt;=$D$70,MOD(I$343-$D$70,$D$71)=0),$D$62*$D$72^((I$343-$D$70)/$D$71),0)</f>
        <v>16.0</v>
      </c>
      <c r="J345" s="46">
        <f>IF(AND(J$343&gt;=$D$70,MOD(J$343-$D$70,$D$71)=0),$D$62*$D$72^((J$343-$D$70)/$D$71),0)</f>
        <v>0.0</v>
      </c>
      <c r="K345" s="46">
        <f>IF(AND(K$343&gt;=$D$70,MOD(K$343-$D$70,$D$71)=0),$D$62*$D$72^((K$343-$D$70)/$D$71),0)</f>
        <v>0.0</v>
      </c>
      <c r="L345" s="46">
        <f>IF(AND(L$343&gt;=$D$70,MOD(L$343-$D$70,$D$71)=0),$D$62*$D$72^((L$343-$D$70)/$D$71),0)</f>
        <v>0.0</v>
      </c>
      <c r="M345" s="46">
        <f>IF(AND(M$343&gt;=$D$70,MOD(M$343-$D$70,$D$71)=0),$D$62*$D$72^((M$343-$D$70)/$D$71),0)</f>
        <v>9.6</v>
      </c>
      <c r="N345" s="46">
        <f>IF(AND(N$343&gt;=$D$70,MOD(N$343-$D$70,$D$71)=0),$D$62*$D$72^((N$343-$D$70)/$D$71),0)</f>
        <v>0.0</v>
      </c>
      <c r="O345" s="46">
        <f>IF(AND(O$343&gt;=$D$70,MOD(O$343-$D$70,$D$71)=0),$D$62*$D$72^((O$343-$D$70)/$D$71),0)</f>
        <v>0.0</v>
      </c>
      <c r="P345" s="46">
        <f>IF(AND(P$343&gt;=$D$70,MOD(P$343-$D$70,$D$71)=0),$D$62*$D$72^((P$343-$D$70)/$D$71),0)</f>
        <v>0.0</v>
      </c>
      <c r="Q345" s="46">
        <f>IF(AND(Q$343&gt;=$D$70,MOD(Q$343-$D$70,$D$71)=0),$D$62*$D$72^((Q$343-$D$70)/$D$71),0)</f>
        <v>5.76</v>
      </c>
      <c r="R345" s="46">
        <f>IF(AND(R$343&gt;=$D$70,MOD(R$343-$D$70,$D$71)=0),$D$62*$D$72^((R$343-$D$70)/$D$71),0)</f>
        <v>0.0</v>
      </c>
      <c r="S345" s="46">
        <f>IF(AND(S$343&gt;=$D$70,MOD(S$343-$D$70,$D$71)=0),$D$62*$D$72^((S$343-$D$70)/$D$71),0)</f>
        <v>0.0</v>
      </c>
      <c r="T345" s="46">
        <f>IF(AND(T$343&gt;=$D$70,MOD(T$343-$D$70,$D$71)=0),$D$62*$D$72^((T$343-$D$70)/$D$71),0)</f>
        <v>0.0</v>
      </c>
      <c r="U345" s="46">
        <f>IF(AND(U$343&gt;=$D$70,MOD(U$343-$D$70,$D$71)=0),$D$62*$D$72^((U$343-$D$70)/$D$71),0)</f>
        <v>3.4559999999999995</v>
      </c>
      <c r="V345" s="46">
        <f>IF(AND(V$343&gt;=$D$70,MOD(V$343-$D$70,$D$71)=0),$D$62*$D$72^((V$343-$D$70)/$D$71),0)</f>
        <v>0.0</v>
      </c>
      <c r="W345" s="46">
        <f>IF(AND(W$343&gt;=$D$70,MOD(W$343-$D$70,$D$71)=0),$D$62*$D$72^((W$343-$D$70)/$D$71),0)</f>
        <v>0.0</v>
      </c>
      <c r="X345" s="46">
        <f>IF(AND(X$343&gt;=$D$70,MOD(X$343-$D$70,$D$71)=0),$D$62*$D$72^((X$343-$D$70)/$D$71),0)</f>
        <v>0.0</v>
      </c>
      <c r="Y345" s="46">
        <f>IF(AND(Y$343&gt;=$D$70,MOD(Y$343-$D$70,$D$71)=0),$D$62*$D$72^((Y$343-$D$70)/$D$71),0)</f>
        <v>2.0736</v>
      </c>
      <c r="Z345" s="46">
        <f>IF(AND(Z$343&gt;=$D$70,MOD(Z$343-$D$70,$D$71)=0),$D$62*$D$72^((Z$343-$D$70)/$D$71),0)</f>
        <v>0.0</v>
      </c>
    </row>
    <row r="346">
      <c r="A346" s="3" t="inlineStr">
        <is>
          <t>Contribution before CAC</t>
        </is>
      </c>
      <c r="B346" s="30">
        <f>SUM(C346:Z346)</f>
        <v>1459.0971233735017</v>
      </c>
      <c r="C346" s="33">
        <f>IF(C$343=1,$D$58*$D$39,0)+C344*$D$53+C345*$D$56</f>
        <v>1691.5686324999997</v>
      </c>
      <c r="D346" s="33">
        <f>IF(D$343=1,$D$58*$D$39,0)+D344*$D$53+D345*$D$56</f>
        <v>0.0</v>
      </c>
      <c r="E346" s="33">
        <f>IF(E$343=1,$D$58*$D$39,0)+E344*$D$53+E345*$D$56</f>
        <v>0.0</v>
      </c>
      <c r="F346" s="33">
        <f>IF(F$343=1,$D$58*$D$39,0)+F344*$D$53+F345*$D$56</f>
        <v>0.0</v>
      </c>
      <c r="G346" s="33">
        <f>IF(G$343=1,$D$58*$D$39,0)+G344*$D$53+G345*$D$56</f>
        <v>0.0</v>
      </c>
      <c r="H346" s="33">
        <f>IF(H$343=1,$D$58*$D$39,0)+H344*$D$53+H345*$D$56</f>
        <v>0.0</v>
      </c>
      <c r="I346" s="33">
        <f>IF(I$343=1,$D$58*$D$39,0)+I344*$D$53+I345*$D$56</f>
        <v>-70.46393438502531</v>
      </c>
      <c r="J346" s="33">
        <f>IF(J$343=1,$D$58*$D$39,0)+J344*$D$53+J345*$D$56</f>
        <v>0.0</v>
      </c>
      <c r="K346" s="33">
        <f>IF(K$343=1,$D$58*$D$39,0)+K344*$D$53+K345*$D$56</f>
        <v>0.0</v>
      </c>
      <c r="L346" s="33">
        <f>IF(L$343=1,$D$58*$D$39,0)+L344*$D$53+L345*$D$56</f>
        <v>-34.78662916251302</v>
      </c>
      <c r="M346" s="33">
        <f>IF(M$343=1,$D$58*$D$39,0)+M344*$D$53+M345*$D$56</f>
        <v>-17.200128</v>
      </c>
      <c r="N346" s="33">
        <f>IF(N$343=1,$D$58*$D$39,0)+N344*$D$53+N345*$D$56</f>
        <v>0.0</v>
      </c>
      <c r="O346" s="33">
        <f>IF(O$343=1,$D$58*$D$39,0)+O344*$D$53+O345*$D$56</f>
        <v>-28.952029904857337</v>
      </c>
      <c r="P346" s="33">
        <f>IF(P$343=1,$D$58*$D$39,0)+P344*$D$53+P345*$D$56</f>
        <v>0.0</v>
      </c>
      <c r="Q346" s="33">
        <f>IF(Q$343=1,$D$58*$D$39,0)+Q344*$D$53+Q345*$D$56</f>
        <v>-10.320076799999999</v>
      </c>
      <c r="R346" s="33">
        <f>IF(R$343=1,$D$58*$D$39,0)+R344*$D$53+R345*$D$56</f>
        <v>-24.09604080049933</v>
      </c>
      <c r="S346" s="33">
        <f>IF(S$343=1,$D$58*$D$39,0)+S344*$D$53+S345*$D$56</f>
        <v>0.0</v>
      </c>
      <c r="T346" s="33">
        <f>IF(T$343=1,$D$58*$D$39,0)+T344*$D$53+T345*$D$56</f>
        <v>0.0</v>
      </c>
      <c r="U346" s="33">
        <f>IF(U$343=1,$D$58*$D$39,0)+U344*$D$53+U345*$D$56</f>
        <v>-26.246570207232843</v>
      </c>
      <c r="V346" s="33">
        <f>IF(V$343=1,$D$58*$D$39,0)+V344*$D$53+V345*$D$56</f>
        <v>0.0</v>
      </c>
      <c r="W346" s="33">
        <f>IF(W$343=1,$D$58*$D$39,0)+W344*$D$53+W345*$D$56</f>
        <v>0.0</v>
      </c>
      <c r="X346" s="33">
        <f>IF(X$343=1,$D$58*$D$39,0)+X344*$D$53+X345*$D$56</f>
        <v>-16.69087221837</v>
      </c>
      <c r="Y346" s="33">
        <f>IF(Y$343=1,$D$58*$D$39,0)+Y344*$D$53+Y345*$D$56</f>
        <v>-3.7152276479999995</v>
      </c>
      <c r="Z346" s="33">
        <f>IF(Z$343=1,$D$58*$D$39,0)+Z344*$D$53+Z345*$D$56</f>
        <v>0.0</v>
      </c>
    </row>
    <row r="347">
      <c r="A347" s="3" t="inlineStr">
        <is>
          <t>CAC</t>
        </is>
      </c>
      <c r="B347" s="30">
        <f>SUM(C347:Z347)</f>
        <v>-4500.0</v>
      </c>
      <c r="C347" s="33">
        <f>IF(C$343=1,-$D$58*$D$21,0)</f>
        <v>-4500.0</v>
      </c>
      <c r="D347" s="33">
        <f>IF(D$343=1,-$D$58*$D$21,0)</f>
        <v>0.0</v>
      </c>
      <c r="E347" s="33">
        <f>IF(E$343=1,-$D$58*$D$21,0)</f>
        <v>0.0</v>
      </c>
      <c r="F347" s="33">
        <f>IF(F$343=1,-$D$58*$D$21,0)</f>
        <v>0.0</v>
      </c>
      <c r="G347" s="33">
        <f>IF(G$343=1,-$D$58*$D$21,0)</f>
        <v>0.0</v>
      </c>
      <c r="H347" s="33">
        <f>IF(H$343=1,-$D$58*$D$21,0)</f>
        <v>0.0</v>
      </c>
      <c r="I347" s="33">
        <f>IF(I$343=1,-$D$58*$D$21,0)</f>
        <v>0.0</v>
      </c>
      <c r="J347" s="33">
        <f>IF(J$343=1,-$D$58*$D$21,0)</f>
        <v>0.0</v>
      </c>
      <c r="K347" s="33">
        <f>IF(K$343=1,-$D$58*$D$21,0)</f>
        <v>0.0</v>
      </c>
      <c r="L347" s="33">
        <f>IF(L$343=1,-$D$58*$D$21,0)</f>
        <v>0.0</v>
      </c>
      <c r="M347" s="33">
        <f>IF(M$343=1,-$D$58*$D$21,0)</f>
        <v>0.0</v>
      </c>
      <c r="N347" s="33">
        <f>IF(N$343=1,-$D$58*$D$21,0)</f>
        <v>0.0</v>
      </c>
      <c r="O347" s="33">
        <f>IF(O$343=1,-$D$58*$D$21,0)</f>
        <v>0.0</v>
      </c>
      <c r="P347" s="33">
        <f>IF(P$343=1,-$D$58*$D$21,0)</f>
        <v>0.0</v>
      </c>
      <c r="Q347" s="33">
        <f>IF(Q$343=1,-$D$58*$D$21,0)</f>
        <v>0.0</v>
      </c>
      <c r="R347" s="33">
        <f>IF(R$343=1,-$D$58*$D$21,0)</f>
        <v>0.0</v>
      </c>
      <c r="S347" s="33">
        <f>IF(S$343=1,-$D$58*$D$21,0)</f>
        <v>0.0</v>
      </c>
      <c r="T347" s="33">
        <f>IF(T$343=1,-$D$58*$D$21,0)</f>
        <v>0.0</v>
      </c>
      <c r="U347" s="33">
        <f>IF(U$343=1,-$D$58*$D$21,0)</f>
        <v>0.0</v>
      </c>
      <c r="V347" s="33">
        <f>IF(V$343=1,-$D$58*$D$21,0)</f>
        <v>0.0</v>
      </c>
      <c r="W347" s="33">
        <f>IF(W$343=1,-$D$58*$D$21,0)</f>
        <v>0.0</v>
      </c>
      <c r="X347" s="33">
        <f>IF(X$343=1,-$D$58*$D$21,0)</f>
        <v>0.0</v>
      </c>
      <c r="Y347" s="33">
        <f>IF(Y$343=1,-$D$58*$D$21,0)</f>
        <v>0.0</v>
      </c>
      <c r="Z347" s="33">
        <f>IF(Z$343=1,-$D$58*$D$21,0)</f>
        <v>0.0</v>
      </c>
    </row>
    <row r="348">
      <c r="A348" s="16" t="inlineStr">
        <is>
          <t>Cumulative contribution after CAC</t>
        </is>
      </c>
      <c r="C348" s="30">
        <f>C346+C347</f>
        <v>-2808.4313675000003</v>
      </c>
      <c r="D348" s="30">
        <f>C348+D346+D347</f>
        <v>-2808.4313675000003</v>
      </c>
      <c r="E348" s="30">
        <f>D348+E346+E347</f>
        <v>-2808.4313675000003</v>
      </c>
      <c r="F348" s="30">
        <f>E348+F346+F347</f>
        <v>-2808.4313675000003</v>
      </c>
      <c r="G348" s="30">
        <f>F348+G346+G347</f>
        <v>-2808.4313675000003</v>
      </c>
      <c r="H348" s="30">
        <f>G348+H346+H347</f>
        <v>-2808.4313675000003</v>
      </c>
      <c r="I348" s="30">
        <f>H348+I346+I347</f>
        <v>-2878.8953018850257</v>
      </c>
      <c r="J348" s="30">
        <f>I348+J346+J347</f>
        <v>-2878.8953018850257</v>
      </c>
      <c r="K348" s="30">
        <f>J348+K346+K347</f>
        <v>-2878.8953018850257</v>
      </c>
      <c r="L348" s="30">
        <f>K348+L346+L347</f>
        <v>-2913.681931047539</v>
      </c>
      <c r="M348" s="30">
        <f>L348+M346+M347</f>
        <v>-2930.882059047539</v>
      </c>
      <c r="N348" s="30">
        <f>M348+N346+N347</f>
        <v>-2930.882059047539</v>
      </c>
      <c r="O348" s="30">
        <f>N348+O346+O347</f>
        <v>-2959.834088952396</v>
      </c>
      <c r="P348" s="30">
        <f>O348+P346+P347</f>
        <v>-2959.834088952396</v>
      </c>
      <c r="Q348" s="30">
        <f>P348+Q346+Q347</f>
        <v>-2970.1541657523962</v>
      </c>
      <c r="R348" s="30">
        <f>Q348+R346+R347</f>
        <v>-2994.2502065528956</v>
      </c>
      <c r="S348" s="30">
        <f>R348+S346+S347</f>
        <v>-2994.2502065528956</v>
      </c>
      <c r="T348" s="30">
        <f>S348+T346+T347</f>
        <v>-2994.2502065528956</v>
      </c>
      <c r="U348" s="30">
        <f>T348+U346+U347</f>
        <v>-3020.4967767601283</v>
      </c>
      <c r="V348" s="30">
        <f>U348+V346+V347</f>
        <v>-3020.4967767601283</v>
      </c>
      <c r="W348" s="30">
        <f>V348+W346+W347</f>
        <v>-3020.4967767601283</v>
      </c>
      <c r="X348" s="30">
        <f>W348+X346+X347</f>
        <v>-3037.187648978498</v>
      </c>
      <c r="Y348" s="30">
        <f>X348+Y346+Y347</f>
        <v>-3040.9028766264983</v>
      </c>
      <c r="Z348" s="30">
        <f>Y348+Z346+Z347</f>
        <v>-3040.9028766264983</v>
      </c>
    </row>
    <row r="349">
      <c r="A349" s="3" t="inlineStr">
        <is>
          <t>Cumulative contribution before CAC per customer</t>
        </is>
      </c>
      <c r="C349" s="26">
        <f>SUM($C346:C346)/$D$58</f>
        <v>16.915686324999996</v>
      </c>
      <c r="D349" s="26">
        <f>SUM($C346:D346)/$D$58</f>
        <v>16.915686324999996</v>
      </c>
      <c r="E349" s="26">
        <f>SUM($C346:E346)/$D$58</f>
        <v>16.915686324999996</v>
      </c>
      <c r="F349" s="26">
        <f>SUM($C346:F346)/$D$58</f>
        <v>16.915686324999996</v>
      </c>
      <c r="G349" s="26">
        <f>SUM($C346:G346)/$D$58</f>
        <v>16.915686324999996</v>
      </c>
      <c r="H349" s="26">
        <f>SUM($C346:H346)/$D$58</f>
        <v>16.915686324999996</v>
      </c>
      <c r="I349" s="26">
        <f>SUM($C346:I346)/$D$58</f>
        <v>16.211046981149742</v>
      </c>
      <c r="J349" s="26">
        <f>SUM($C346:J346)/$D$58</f>
        <v>16.211046981149742</v>
      </c>
      <c r="K349" s="26">
        <f>SUM($C346:K346)/$D$58</f>
        <v>16.211046981149742</v>
      </c>
      <c r="L349" s="26">
        <f>SUM($C346:L346)/$D$58</f>
        <v>15.863180689524613</v>
      </c>
      <c r="M349" s="26">
        <f>SUM($C346:M346)/$D$58</f>
        <v>15.691179409524613</v>
      </c>
      <c r="N349" s="26">
        <f>SUM($C346:N346)/$D$58</f>
        <v>15.691179409524613</v>
      </c>
      <c r="O349" s="26">
        <f>SUM($C346:O346)/$D$58</f>
        <v>15.40165911047604</v>
      </c>
      <c r="P349" s="26">
        <f>SUM($C346:P346)/$D$58</f>
        <v>15.40165911047604</v>
      </c>
      <c r="Q349" s="26">
        <f>SUM($C346:Q346)/$D$58</f>
        <v>15.29845834247604</v>
      </c>
      <c r="R349" s="26">
        <f>SUM($C346:R346)/$D$58</f>
        <v>15.057497934471046</v>
      </c>
      <c r="S349" s="26">
        <f>SUM($C346:S346)/$D$58</f>
        <v>15.057497934471046</v>
      </c>
      <c r="T349" s="26">
        <f>SUM($C346:T346)/$D$58</f>
        <v>15.057497934471046</v>
      </c>
      <c r="U349" s="26">
        <f>SUM($C346:U346)/$D$58</f>
        <v>14.795032232398718</v>
      </c>
      <c r="V349" s="26">
        <f>SUM($C346:V346)/$D$58</f>
        <v>14.795032232398718</v>
      </c>
      <c r="W349" s="26">
        <f>SUM($C346:W346)/$D$58</f>
        <v>14.795032232398718</v>
      </c>
      <c r="X349" s="26">
        <f>SUM($C346:X346)/$D$58</f>
        <v>14.628123510215019</v>
      </c>
      <c r="Y349" s="26">
        <f>SUM($C346:Y346)/$D$58</f>
        <v>14.590971233735017</v>
      </c>
      <c r="Z349" s="26">
        <f>SUM($C346:Z346)/$D$58</f>
        <v>14.590971233735017</v>
      </c>
    </row>
    <row r="350">
      <c r="A350" s="3" t="inlineStr">
        <is>
          <t>Payback helper (month if cumulative &gt;= 0, else 99)</t>
        </is>
      </c>
      <c r="C350" s="51">
        <f>IF(C348&gt;=0,C$343,99)</f>
        <v>99.0</v>
      </c>
      <c r="D350" s="51">
        <f>IF(D348&gt;=0,D$343,99)</f>
        <v>99.0</v>
      </c>
      <c r="E350" s="51">
        <f>IF(E348&gt;=0,E$343,99)</f>
        <v>99.0</v>
      </c>
      <c r="F350" s="51">
        <f>IF(F348&gt;=0,F$343,99)</f>
        <v>99.0</v>
      </c>
      <c r="G350" s="51">
        <f>IF(G348&gt;=0,G$343,99)</f>
        <v>99.0</v>
      </c>
      <c r="H350" s="51">
        <f>IF(H348&gt;=0,H$343,99)</f>
        <v>99.0</v>
      </c>
      <c r="I350" s="51">
        <f>IF(I348&gt;=0,I$343,99)</f>
        <v>99.0</v>
      </c>
      <c r="J350" s="51">
        <f>IF(J348&gt;=0,J$343,99)</f>
        <v>99.0</v>
      </c>
      <c r="K350" s="51">
        <f>IF(K348&gt;=0,K$343,99)</f>
        <v>99.0</v>
      </c>
      <c r="L350" s="51">
        <f>IF(L348&gt;=0,L$343,99)</f>
        <v>99.0</v>
      </c>
      <c r="M350" s="51">
        <f>IF(M348&gt;=0,M$343,99)</f>
        <v>99.0</v>
      </c>
      <c r="N350" s="51">
        <f>IF(N348&gt;=0,N$343,99)</f>
        <v>99.0</v>
      </c>
      <c r="O350" s="51">
        <f>IF(O348&gt;=0,O$343,99)</f>
        <v>99.0</v>
      </c>
      <c r="P350" s="51">
        <f>IF(P348&gt;=0,P$343,99)</f>
        <v>99.0</v>
      </c>
      <c r="Q350" s="51">
        <f>IF(Q348&gt;=0,Q$343,99)</f>
        <v>99.0</v>
      </c>
      <c r="R350" s="51">
        <f>IF(R348&gt;=0,R$343,99)</f>
        <v>99.0</v>
      </c>
      <c r="S350" s="51">
        <f>IF(S348&gt;=0,S$343,99)</f>
        <v>99.0</v>
      </c>
      <c r="T350" s="51">
        <f>IF(T348&gt;=0,T$343,99)</f>
        <v>99.0</v>
      </c>
      <c r="U350" s="51">
        <f>IF(U348&gt;=0,U$343,99)</f>
        <v>99.0</v>
      </c>
      <c r="V350" s="51">
        <f>IF(V348&gt;=0,V$343,99)</f>
        <v>99.0</v>
      </c>
      <c r="W350" s="51">
        <f>IF(W348&gt;=0,W$343,99)</f>
        <v>99.0</v>
      </c>
      <c r="X350" s="51">
        <f>IF(X348&gt;=0,X$343,99)</f>
        <v>99.0</v>
      </c>
      <c r="Y350" s="51">
        <f>IF(Y348&gt;=0,Y$343,99)</f>
        <v>99.0</v>
      </c>
      <c r="Z350" s="51">
        <f>IF(Z348&gt;=0,Z$343,99)</f>
        <v>99.0</v>
      </c>
    </row>
    <row r="352">
      <c r="A352" s="4" t="inlineStr">
        <is>
          <t>R2 = R1 + 6-month 12-filter subscription</t>
        </is>
      </c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>
      <c r="A353" s="16" t="inlineStr">
        <is>
          <t>Month</t>
        </is>
      </c>
      <c r="B353" s="16" t="inlineStr">
        <is>
          <t>Total</t>
        </is>
      </c>
      <c r="C353" s="21" t="n">
        <v>1</v>
      </c>
      <c r="D353" s="21" t="n">
        <v>2</v>
      </c>
      <c r="E353" s="21" t="n">
        <v>3</v>
      </c>
      <c r="F353" s="21" t="n">
        <v>4</v>
      </c>
      <c r="G353" s="21" t="n">
        <v>5</v>
      </c>
      <c r="H353" s="21" t="n">
        <v>6</v>
      </c>
      <c r="I353" s="21" t="n">
        <v>7</v>
      </c>
      <c r="J353" s="21" t="n">
        <v>8</v>
      </c>
      <c r="K353" s="21" t="n">
        <v>9</v>
      </c>
      <c r="L353" s="21" t="n">
        <v>10</v>
      </c>
      <c r="M353" s="21" t="n">
        <v>11</v>
      </c>
      <c r="N353" s="21" t="n">
        <v>12</v>
      </c>
      <c r="O353" s="21" t="n">
        <v>13</v>
      </c>
      <c r="P353" s="21" t="n">
        <v>14</v>
      </c>
      <c r="Q353" s="21" t="n">
        <v>15</v>
      </c>
      <c r="R353" s="21" t="n">
        <v>16</v>
      </c>
      <c r="S353" s="21" t="n">
        <v>17</v>
      </c>
      <c r="T353" s="21" t="n">
        <v>18</v>
      </c>
      <c r="U353" s="21" t="n">
        <v>19</v>
      </c>
      <c r="V353" s="21" t="n">
        <v>20</v>
      </c>
      <c r="W353" s="21" t="n">
        <v>21</v>
      </c>
      <c r="X353" s="21" t="n">
        <v>22</v>
      </c>
      <c r="Y353" s="21" t="n">
        <v>23</v>
      </c>
      <c r="Z353" s="21" t="n">
        <v>24</v>
      </c>
    </row>
    <row r="354">
      <c r="A354" s="3" t="inlineStr">
        <is>
          <t>Subscription renewal orders</t>
        </is>
      </c>
      <c r="B354" s="48">
        <f>SUM(C354:Z354)</f>
        <v>26.5560273110036</v>
      </c>
      <c r="C354" s="46">
        <f>IF(AND(C$353&gt;=$E$65,MOD(C$353-$E$65,$E$66)=0),$E$61*$E$67*$E$68^((C$353-$E$65)/$E$66),0)</f>
        <v>0.0</v>
      </c>
      <c r="D354" s="46">
        <f>IF(AND(D$353&gt;=$E$65,MOD(D$353-$E$65,$E$66)=0),$E$61*$E$67*$E$68^((D$353-$E$65)/$E$66),0)</f>
        <v>0.0</v>
      </c>
      <c r="E354" s="46">
        <f>IF(AND(E$353&gt;=$E$65,MOD(E$353-$E$65,$E$66)=0),$E$61*$E$67*$E$68^((E$353-$E$65)/$E$66),0)</f>
        <v>0.0</v>
      </c>
      <c r="F354" s="46">
        <f>IF(AND(F$353&gt;=$E$65,MOD(F$353-$E$65,$E$66)=0),$E$61*$E$67*$E$68^((F$353-$E$65)/$E$66),0)</f>
        <v>0.0</v>
      </c>
      <c r="G354" s="46">
        <f>IF(AND(G$353&gt;=$E$65,MOD(G$353-$E$65,$E$66)=0),$E$61*$E$67*$E$68^((G$353-$E$65)/$E$66),0)</f>
        <v>0.0</v>
      </c>
      <c r="H354" s="46">
        <f>IF(AND(H$353&gt;=$E$65,MOD(H$353-$E$65,$E$66)=0),$E$61*$E$67*$E$68^((H$353-$E$65)/$E$66),0)</f>
        <v>0.0</v>
      </c>
      <c r="I354" s="46">
        <f>IF(AND(I$353&gt;=$E$65,MOD(I$353-$E$65,$E$66)=0),$E$61*$E$67*$E$68^((I$353-$E$65)/$E$66),0)</f>
        <v>12.223784242907014</v>
      </c>
      <c r="J354" s="46">
        <f>IF(AND(J$353&gt;=$E$65,MOD(J$353-$E$65,$E$66)=0),$E$61*$E$67*$E$68^((J$353-$E$65)/$E$66),0)</f>
        <v>0.0</v>
      </c>
      <c r="K354" s="46">
        <f>IF(AND(K$353&gt;=$E$65,MOD(K$353-$E$65,$E$66)=0),$E$61*$E$67*$E$68^((K$353-$E$65)/$E$66),0)</f>
        <v>0.0</v>
      </c>
      <c r="L354" s="46">
        <f>IF(AND(L$353&gt;=$E$65,MOD(L$353-$E$65,$E$66)=0),$E$61*$E$67*$E$68^((L$353-$E$65)/$E$66),0)</f>
        <v>0.0</v>
      </c>
      <c r="M354" s="46">
        <f>IF(AND(M$353&gt;=$E$65,MOD(M$353-$E$65,$E$66)=0),$E$61*$E$67*$E$68^((M$353-$E$65)/$E$66),0)</f>
        <v>0.0</v>
      </c>
      <c r="N354" s="46">
        <f>IF(AND(N$353&gt;=$E$65,MOD(N$353-$E$65,$E$66)=0),$E$61*$E$67*$E$68^((N$353-$E$65)/$E$66),0)</f>
        <v>0.0</v>
      </c>
      <c r="O354" s="46">
        <f>IF(AND(O$353&gt;=$E$65,MOD(O$353-$E$65,$E$66)=0),$E$61*$E$67*$E$68^((O$353-$E$65)/$E$66),0)</f>
        <v>8.467184402304703</v>
      </c>
      <c r="P354" s="46">
        <f>IF(AND(P$353&gt;=$E$65,MOD(P$353-$E$65,$E$66)=0),$E$61*$E$67*$E$68^((P$353-$E$65)/$E$66),0)</f>
        <v>0.0</v>
      </c>
      <c r="Q354" s="46">
        <f>IF(AND(Q$353&gt;=$E$65,MOD(Q$353-$E$65,$E$66)=0),$E$61*$E$67*$E$68^((Q$353-$E$65)/$E$66),0)</f>
        <v>0.0</v>
      </c>
      <c r="R354" s="46">
        <f>IF(AND(R$353&gt;=$E$65,MOD(R$353-$E$65,$E$66)=0),$E$61*$E$67*$E$68^((R$353-$E$65)/$E$66),0)</f>
        <v>0.0</v>
      </c>
      <c r="S354" s="46">
        <f>IF(AND(S$353&gt;=$E$65,MOD(S$353-$E$65,$E$66)=0),$E$61*$E$67*$E$68^((S$353-$E$65)/$E$66),0)</f>
        <v>0.0</v>
      </c>
      <c r="T354" s="46">
        <f>IF(AND(T$353&gt;=$E$65,MOD(T$353-$E$65,$E$66)=0),$E$61*$E$67*$E$68^((T$353-$E$65)/$E$66),0)</f>
        <v>0.0</v>
      </c>
      <c r="U354" s="46">
        <f>IF(AND(U$353&gt;=$E$65,MOD(U$353-$E$65,$E$66)=0),$E$61*$E$67*$E$68^((U$353-$E$65)/$E$66),0)</f>
        <v>5.865058665791882</v>
      </c>
      <c r="V354" s="46">
        <f>IF(AND(V$353&gt;=$E$65,MOD(V$353-$E$65,$E$66)=0),$E$61*$E$67*$E$68^((V$353-$E$65)/$E$66),0)</f>
        <v>0.0</v>
      </c>
      <c r="W354" s="46">
        <f>IF(AND(W$353&gt;=$E$65,MOD(W$353-$E$65,$E$66)=0),$E$61*$E$67*$E$68^((W$353-$E$65)/$E$66),0)</f>
        <v>0.0</v>
      </c>
      <c r="X354" s="46">
        <f>IF(AND(X$353&gt;=$E$65,MOD(X$353-$E$65,$E$66)=0),$E$61*$E$67*$E$68^((X$353-$E$65)/$E$66),0)</f>
        <v>0.0</v>
      </c>
      <c r="Y354" s="46">
        <f>IF(AND(Y$353&gt;=$E$65,MOD(Y$353-$E$65,$E$66)=0),$E$61*$E$67*$E$68^((Y$353-$E$65)/$E$66),0)</f>
        <v>0.0</v>
      </c>
      <c r="Z354" s="46">
        <f>IF(AND(Z$353&gt;=$E$65,MOD(Z$353-$E$65,$E$66)=0),$E$61*$E$67*$E$68^((Z$353-$E$65)/$E$66),0)</f>
        <v>0.0</v>
      </c>
    </row>
    <row r="355">
      <c r="A355" s="3" t="inlineStr">
        <is>
          <t>Occasional repeat orders</t>
        </is>
      </c>
      <c r="B355" s="48">
        <f>SUM(C355:Z355)</f>
        <v>31.36</v>
      </c>
      <c r="C355" s="46">
        <f>IF(AND(C$353&gt;=$E$70,MOD(C$353-$E$70,$E$71)=0),$E$62*$E$72^((C$353-$E$70)/$E$71),0)</f>
        <v>0.0</v>
      </c>
      <c r="D355" s="46">
        <f>IF(AND(D$353&gt;=$E$70,MOD(D$353-$E$70,$E$71)=0),$E$62*$E$72^((D$353-$E$70)/$E$71),0)</f>
        <v>0.0</v>
      </c>
      <c r="E355" s="46">
        <f>IF(AND(E$353&gt;=$E$70,MOD(E$353-$E$70,$E$71)=0),$E$62*$E$72^((E$353-$E$70)/$E$71),0)</f>
        <v>0.0</v>
      </c>
      <c r="F355" s="46">
        <f>IF(AND(F$353&gt;=$E$70,MOD(F$353-$E$70,$E$71)=0),$E$62*$E$72^((F$353-$E$70)/$E$71),0)</f>
        <v>0.0</v>
      </c>
      <c r="G355" s="46">
        <f>IF(AND(G$353&gt;=$E$70,MOD(G$353-$E$70,$E$71)=0),$E$62*$E$72^((G$353-$E$70)/$E$71),0)</f>
        <v>0.0</v>
      </c>
      <c r="H355" s="46">
        <f>IF(AND(H$353&gt;=$E$70,MOD(H$353-$E$70,$E$71)=0),$E$62*$E$72^((H$353-$E$70)/$E$71),0)</f>
        <v>0.0</v>
      </c>
      <c r="I355" s="46">
        <f>IF(AND(I$353&gt;=$E$70,MOD(I$353-$E$70,$E$71)=0),$E$62*$E$72^((I$353-$E$70)/$E$71),0)</f>
        <v>16.0</v>
      </c>
      <c r="J355" s="46">
        <f>IF(AND(J$353&gt;=$E$70,MOD(J$353-$E$70,$E$71)=0),$E$62*$E$72^((J$353-$E$70)/$E$71),0)</f>
        <v>0.0</v>
      </c>
      <c r="K355" s="46">
        <f>IF(AND(K$353&gt;=$E$70,MOD(K$353-$E$70,$E$71)=0),$E$62*$E$72^((K$353-$E$70)/$E$71),0)</f>
        <v>0.0</v>
      </c>
      <c r="L355" s="46">
        <f>IF(AND(L$353&gt;=$E$70,MOD(L$353-$E$70,$E$71)=0),$E$62*$E$72^((L$353-$E$70)/$E$71),0)</f>
        <v>0.0</v>
      </c>
      <c r="M355" s="46">
        <f>IF(AND(M$353&gt;=$E$70,MOD(M$353-$E$70,$E$71)=0),$E$62*$E$72^((M$353-$E$70)/$E$71),0)</f>
        <v>0.0</v>
      </c>
      <c r="N355" s="46">
        <f>IF(AND(N$353&gt;=$E$70,MOD(N$353-$E$70,$E$71)=0),$E$62*$E$72^((N$353-$E$70)/$E$71),0)</f>
        <v>0.0</v>
      </c>
      <c r="O355" s="46">
        <f>IF(AND(O$353&gt;=$E$70,MOD(O$353-$E$70,$E$71)=0),$E$62*$E$72^((O$353-$E$70)/$E$71),0)</f>
        <v>0.0</v>
      </c>
      <c r="P355" s="46">
        <f>IF(AND(P$353&gt;=$E$70,MOD(P$353-$E$70,$E$71)=0),$E$62*$E$72^((P$353-$E$70)/$E$71),0)</f>
        <v>0.0</v>
      </c>
      <c r="Q355" s="46">
        <f>IF(AND(Q$353&gt;=$E$70,MOD(Q$353-$E$70,$E$71)=0),$E$62*$E$72^((Q$353-$E$70)/$E$71),0)</f>
        <v>9.6</v>
      </c>
      <c r="R355" s="46">
        <f>IF(AND(R$353&gt;=$E$70,MOD(R$353-$E$70,$E$71)=0),$E$62*$E$72^((R$353-$E$70)/$E$71),0)</f>
        <v>0.0</v>
      </c>
      <c r="S355" s="46">
        <f>IF(AND(S$353&gt;=$E$70,MOD(S$353-$E$70,$E$71)=0),$E$62*$E$72^((S$353-$E$70)/$E$71),0)</f>
        <v>0.0</v>
      </c>
      <c r="T355" s="46">
        <f>IF(AND(T$353&gt;=$E$70,MOD(T$353-$E$70,$E$71)=0),$E$62*$E$72^((T$353-$E$70)/$E$71),0)</f>
        <v>0.0</v>
      </c>
      <c r="U355" s="46">
        <f>IF(AND(U$353&gt;=$E$70,MOD(U$353-$E$70,$E$71)=0),$E$62*$E$72^((U$353-$E$70)/$E$71),0)</f>
        <v>0.0</v>
      </c>
      <c r="V355" s="46">
        <f>IF(AND(V$353&gt;=$E$70,MOD(V$353-$E$70,$E$71)=0),$E$62*$E$72^((V$353-$E$70)/$E$71),0)</f>
        <v>0.0</v>
      </c>
      <c r="W355" s="46">
        <f>IF(AND(W$353&gt;=$E$70,MOD(W$353-$E$70,$E$71)=0),$E$62*$E$72^((W$353-$E$70)/$E$71),0)</f>
        <v>0.0</v>
      </c>
      <c r="X355" s="46">
        <f>IF(AND(X$353&gt;=$E$70,MOD(X$353-$E$70,$E$71)=0),$E$62*$E$72^((X$353-$E$70)/$E$71),0)</f>
        <v>0.0</v>
      </c>
      <c r="Y355" s="46">
        <f>IF(AND(Y$353&gt;=$E$70,MOD(Y$353-$E$70,$E$71)=0),$E$62*$E$72^((Y$353-$E$70)/$E$71),0)</f>
        <v>5.76</v>
      </c>
      <c r="Z355" s="46">
        <f>IF(AND(Z$353&gt;=$E$70,MOD(Z$353-$E$70,$E$71)=0),$E$62*$E$72^((Z$353-$E$70)/$E$71),0)</f>
        <v>0.0</v>
      </c>
    </row>
    <row r="356">
      <c r="A356" s="3" t="inlineStr">
        <is>
          <t>Contribution before CAC</t>
        </is>
      </c>
      <c r="B356" s="30">
        <f>SUM(C356:Z356)</f>
        <v>2046.3630924263703</v>
      </c>
      <c r="C356" s="33">
        <f>IF(C$353=1,$E$58*$E$39,0)+C354*$E$53+C355*$E$56</f>
        <v>1691.5686324999997</v>
      </c>
      <c r="D356" s="33">
        <f>IF(D$353=1,$E$58*$E$39,0)+D354*$E$53+D355*$E$56</f>
        <v>0.0</v>
      </c>
      <c r="E356" s="33">
        <f>IF(E$353=1,$E$58*$E$39,0)+E354*$E$53+E355*$E$56</f>
        <v>0.0</v>
      </c>
      <c r="F356" s="33">
        <f>IF(F$353=1,$E$58*$E$39,0)+F354*$E$53+F355*$E$56</f>
        <v>0.0</v>
      </c>
      <c r="G356" s="33">
        <f>IF(G$353=1,$E$58*$E$39,0)+G354*$E$53+G355*$E$56</f>
        <v>0.0</v>
      </c>
      <c r="H356" s="33">
        <f>IF(H$353=1,$E$58*$E$39,0)+H354*$E$53+H355*$E$56</f>
        <v>0.0</v>
      </c>
      <c r="I356" s="33">
        <f>IF(I$353=1,$E$58*$E$39,0)+I354*$E$53+I355*$E$56</f>
        <v>174.9616137089214</v>
      </c>
      <c r="J356" s="33">
        <f>IF(J$353=1,$E$58*$E$39,0)+J354*$E$53+J355*$E$56</f>
        <v>0.0</v>
      </c>
      <c r="K356" s="33">
        <f>IF(K$353=1,$E$58*$E$39,0)+K354*$E$53+K355*$E$56</f>
        <v>0.0</v>
      </c>
      <c r="L356" s="33">
        <f>IF(L$353=1,$E$58*$E$39,0)+L354*$E$53+L355*$E$56</f>
        <v>0.0</v>
      </c>
      <c r="M356" s="33">
        <f>IF(M$353=1,$E$58*$E$39,0)+M354*$E$53+M355*$E$56</f>
        <v>0.0</v>
      </c>
      <c r="N356" s="33">
        <f>IF(N$353=1,$E$58*$E$39,0)+N354*$E$53+N355*$E$56</f>
        <v>0.0</v>
      </c>
      <c r="O356" s="33">
        <f>IF(O$353=1,$E$58*$E$39,0)+O354*$E$53+O355*$E$56</f>
        <v>38.693508625340066</v>
      </c>
      <c r="P356" s="33">
        <f>IF(P$353=1,$E$58*$E$39,0)+P354*$E$53+P355*$E$56</f>
        <v>0.0</v>
      </c>
      <c r="Q356" s="33">
        <f>IF(Q$353=1,$E$58*$E$39,0)+Q354*$E$53+Q355*$E$56</f>
        <v>71.46067200000003</v>
      </c>
      <c r="R356" s="33">
        <f>IF(R$353=1,$E$58*$E$39,0)+R354*$E$53+R355*$E$56</f>
        <v>0.0</v>
      </c>
      <c r="S356" s="33">
        <f>IF(S$353=1,$E$58*$E$39,0)+S354*$E$53+S355*$E$56</f>
        <v>0.0</v>
      </c>
      <c r="T356" s="33">
        <f>IF(T$353=1,$E$58*$E$39,0)+T354*$E$53+T355*$E$56</f>
        <v>0.0</v>
      </c>
      <c r="U356" s="33">
        <f>IF(U$353=1,$E$58*$E$39,0)+U354*$E$53+U355*$E$56</f>
        <v>26.80226239210905</v>
      </c>
      <c r="V356" s="33">
        <f>IF(V$353=1,$E$58*$E$39,0)+V354*$E$53+V355*$E$56</f>
        <v>0.0</v>
      </c>
      <c r="W356" s="33">
        <f>IF(W$353=1,$E$58*$E$39,0)+W354*$E$53+W355*$E$56</f>
        <v>0.0</v>
      </c>
      <c r="X356" s="33">
        <f>IF(X$353=1,$E$58*$E$39,0)+X354*$E$53+X355*$E$56</f>
        <v>0.0</v>
      </c>
      <c r="Y356" s="33">
        <f>IF(Y$353=1,$E$58*$E$39,0)+Y354*$E$53+Y355*$E$56</f>
        <v>42.87640320000002</v>
      </c>
      <c r="Z356" s="33">
        <f>IF(Z$353=1,$E$58*$E$39,0)+Z354*$E$53+Z355*$E$56</f>
        <v>0.0</v>
      </c>
    </row>
    <row r="357">
      <c r="A357" s="3" t="inlineStr">
        <is>
          <t>CAC</t>
        </is>
      </c>
      <c r="B357" s="30">
        <f>SUM(C357:Z357)</f>
        <v>-4500.0</v>
      </c>
      <c r="C357" s="33">
        <f>IF(C$353=1,-$E$58*$E$21,0)</f>
        <v>-4500.0</v>
      </c>
      <c r="D357" s="33">
        <f>IF(D$353=1,-$E$58*$E$21,0)</f>
        <v>0.0</v>
      </c>
      <c r="E357" s="33">
        <f>IF(E$353=1,-$E$58*$E$21,0)</f>
        <v>0.0</v>
      </c>
      <c r="F357" s="33">
        <f>IF(F$353=1,-$E$58*$E$21,0)</f>
        <v>0.0</v>
      </c>
      <c r="G357" s="33">
        <f>IF(G$353=1,-$E$58*$E$21,0)</f>
        <v>0.0</v>
      </c>
      <c r="H357" s="33">
        <f>IF(H$353=1,-$E$58*$E$21,0)</f>
        <v>0.0</v>
      </c>
      <c r="I357" s="33">
        <f>IF(I$353=1,-$E$58*$E$21,0)</f>
        <v>0.0</v>
      </c>
      <c r="J357" s="33">
        <f>IF(J$353=1,-$E$58*$E$21,0)</f>
        <v>0.0</v>
      </c>
      <c r="K357" s="33">
        <f>IF(K$353=1,-$E$58*$E$21,0)</f>
        <v>0.0</v>
      </c>
      <c r="L357" s="33">
        <f>IF(L$353=1,-$E$58*$E$21,0)</f>
        <v>0.0</v>
      </c>
      <c r="M357" s="33">
        <f>IF(M$353=1,-$E$58*$E$21,0)</f>
        <v>0.0</v>
      </c>
      <c r="N357" s="33">
        <f>IF(N$353=1,-$E$58*$E$21,0)</f>
        <v>0.0</v>
      </c>
      <c r="O357" s="33">
        <f>IF(O$353=1,-$E$58*$E$21,0)</f>
        <v>0.0</v>
      </c>
      <c r="P357" s="33">
        <f>IF(P$353=1,-$E$58*$E$21,0)</f>
        <v>0.0</v>
      </c>
      <c r="Q357" s="33">
        <f>IF(Q$353=1,-$E$58*$E$21,0)</f>
        <v>0.0</v>
      </c>
      <c r="R357" s="33">
        <f>IF(R$353=1,-$E$58*$E$21,0)</f>
        <v>0.0</v>
      </c>
      <c r="S357" s="33">
        <f>IF(S$353=1,-$E$58*$E$21,0)</f>
        <v>0.0</v>
      </c>
      <c r="T357" s="33">
        <f>IF(T$353=1,-$E$58*$E$21,0)</f>
        <v>0.0</v>
      </c>
      <c r="U357" s="33">
        <f>IF(U$353=1,-$E$58*$E$21,0)</f>
        <v>0.0</v>
      </c>
      <c r="V357" s="33">
        <f>IF(V$353=1,-$E$58*$E$21,0)</f>
        <v>0.0</v>
      </c>
      <c r="W357" s="33">
        <f>IF(W$353=1,-$E$58*$E$21,0)</f>
        <v>0.0</v>
      </c>
      <c r="X357" s="33">
        <f>IF(X$353=1,-$E$58*$E$21,0)</f>
        <v>0.0</v>
      </c>
      <c r="Y357" s="33">
        <f>IF(Y$353=1,-$E$58*$E$21,0)</f>
        <v>0.0</v>
      </c>
      <c r="Z357" s="33">
        <f>IF(Z$353=1,-$E$58*$E$21,0)</f>
        <v>0.0</v>
      </c>
    </row>
    <row r="358">
      <c r="A358" s="16" t="inlineStr">
        <is>
          <t>Cumulative contribution after CAC</t>
        </is>
      </c>
      <c r="C358" s="30">
        <f>C356+C357</f>
        <v>-2808.4313675000003</v>
      </c>
      <c r="D358" s="30">
        <f>C358+D356+D357</f>
        <v>-2808.4313675000003</v>
      </c>
      <c r="E358" s="30">
        <f>D358+E356+E357</f>
        <v>-2808.4313675000003</v>
      </c>
      <c r="F358" s="30">
        <f>E358+F356+F357</f>
        <v>-2808.4313675000003</v>
      </c>
      <c r="G358" s="30">
        <f>F358+G356+G357</f>
        <v>-2808.4313675000003</v>
      </c>
      <c r="H358" s="30">
        <f>G358+H356+H357</f>
        <v>-2808.4313675000003</v>
      </c>
      <c r="I358" s="30">
        <f>H358+I356+I357</f>
        <v>-2633.469753791079</v>
      </c>
      <c r="J358" s="30">
        <f>I358+J356+J357</f>
        <v>-2633.469753791079</v>
      </c>
      <c r="K358" s="30">
        <f>J358+K356+K357</f>
        <v>-2633.469753791079</v>
      </c>
      <c r="L358" s="30">
        <f>K358+L356+L357</f>
        <v>-2633.469753791079</v>
      </c>
      <c r="M358" s="30">
        <f>L358+M356+M357</f>
        <v>-2633.469753791079</v>
      </c>
      <c r="N358" s="30">
        <f>M358+N356+N357</f>
        <v>-2633.469753791079</v>
      </c>
      <c r="O358" s="30">
        <f>N358+O356+O357</f>
        <v>-2594.7762451657386</v>
      </c>
      <c r="P358" s="30">
        <f>O358+P356+P357</f>
        <v>-2594.7762451657386</v>
      </c>
      <c r="Q358" s="30">
        <f>P358+Q356+Q357</f>
        <v>-2523.3155731657384</v>
      </c>
      <c r="R358" s="30">
        <f>Q358+R356+R357</f>
        <v>-2523.3155731657384</v>
      </c>
      <c r="S358" s="30">
        <f>R358+S356+S357</f>
        <v>-2523.3155731657384</v>
      </c>
      <c r="T358" s="30">
        <f>S358+T356+T357</f>
        <v>-2523.3155731657384</v>
      </c>
      <c r="U358" s="30">
        <f>T358+U356+U357</f>
        <v>-2496.513310773629</v>
      </c>
      <c r="V358" s="30">
        <f>U358+V356+V357</f>
        <v>-2496.513310773629</v>
      </c>
      <c r="W358" s="30">
        <f>V358+W356+W357</f>
        <v>-2496.513310773629</v>
      </c>
      <c r="X358" s="30">
        <f>W358+X356+X357</f>
        <v>-2496.513310773629</v>
      </c>
      <c r="Y358" s="30">
        <f>X358+Y356+Y357</f>
        <v>-2453.6369075736293</v>
      </c>
      <c r="Z358" s="30">
        <f>Y358+Z356+Z357</f>
        <v>-2453.6369075736293</v>
      </c>
    </row>
    <row r="359">
      <c r="A359" s="3" t="inlineStr">
        <is>
          <t>Cumulative contribution before CAC per customer</t>
        </is>
      </c>
      <c r="C359" s="26">
        <f>SUM($C356:C356)/$E$58</f>
        <v>16.915686324999996</v>
      </c>
      <c r="D359" s="26">
        <f>SUM($C356:D356)/$E$58</f>
        <v>16.915686324999996</v>
      </c>
      <c r="E359" s="26">
        <f>SUM($C356:E356)/$E$58</f>
        <v>16.915686324999996</v>
      </c>
      <c r="F359" s="26">
        <f>SUM($C356:F356)/$E$58</f>
        <v>16.915686324999996</v>
      </c>
      <c r="G359" s="26">
        <f>SUM($C356:G356)/$E$58</f>
        <v>16.915686324999996</v>
      </c>
      <c r="H359" s="26">
        <f>SUM($C356:H356)/$E$58</f>
        <v>16.915686324999996</v>
      </c>
      <c r="I359" s="26">
        <f>SUM($C356:I356)/$E$58</f>
        <v>18.665302462089212</v>
      </c>
      <c r="J359" s="26">
        <f>SUM($C356:J356)/$E$58</f>
        <v>18.665302462089212</v>
      </c>
      <c r="K359" s="26">
        <f>SUM($C356:K356)/$E$58</f>
        <v>18.665302462089212</v>
      </c>
      <c r="L359" s="26">
        <f>SUM($C356:L356)/$E$58</f>
        <v>18.665302462089212</v>
      </c>
      <c r="M359" s="26">
        <f>SUM($C356:M356)/$E$58</f>
        <v>18.665302462089212</v>
      </c>
      <c r="N359" s="26">
        <f>SUM($C356:N356)/$E$58</f>
        <v>18.665302462089212</v>
      </c>
      <c r="O359" s="26">
        <f>SUM($C356:O356)/$E$58</f>
        <v>19.05223754834261</v>
      </c>
      <c r="P359" s="26">
        <f>SUM($C356:P356)/$E$58</f>
        <v>19.05223754834261</v>
      </c>
      <c r="Q359" s="26">
        <f>SUM($C356:Q356)/$E$58</f>
        <v>19.76684426834261</v>
      </c>
      <c r="R359" s="26">
        <f>SUM($C356:R356)/$E$58</f>
        <v>19.76684426834261</v>
      </c>
      <c r="S359" s="26">
        <f>SUM($C356:S356)/$E$58</f>
        <v>19.76684426834261</v>
      </c>
      <c r="T359" s="26">
        <f>SUM($C356:T356)/$E$58</f>
        <v>19.76684426834261</v>
      </c>
      <c r="U359" s="26">
        <f>SUM($C356:U356)/$E$58</f>
        <v>20.034866892263704</v>
      </c>
      <c r="V359" s="26">
        <f>SUM($C356:V356)/$E$58</f>
        <v>20.034866892263704</v>
      </c>
      <c r="W359" s="26">
        <f>SUM($C356:W356)/$E$58</f>
        <v>20.034866892263704</v>
      </c>
      <c r="X359" s="26">
        <f>SUM($C356:X356)/$E$58</f>
        <v>20.034866892263704</v>
      </c>
      <c r="Y359" s="26">
        <f>SUM($C356:Y356)/$E$58</f>
        <v>20.463630924263704</v>
      </c>
      <c r="Z359" s="26">
        <f>SUM($C356:Z356)/$E$58</f>
        <v>20.463630924263704</v>
      </c>
    </row>
    <row r="360">
      <c r="A360" s="3" t="inlineStr">
        <is>
          <t>Payback helper (month if cumulative &gt;= 0, else 99)</t>
        </is>
      </c>
      <c r="C360" s="51">
        <f>IF(C358&gt;=0,C$353,99)</f>
        <v>99.0</v>
      </c>
      <c r="D360" s="51">
        <f>IF(D358&gt;=0,D$353,99)</f>
        <v>99.0</v>
      </c>
      <c r="E360" s="51">
        <f>IF(E358&gt;=0,E$353,99)</f>
        <v>99.0</v>
      </c>
      <c r="F360" s="51">
        <f>IF(F358&gt;=0,F$353,99)</f>
        <v>99.0</v>
      </c>
      <c r="G360" s="51">
        <f>IF(G358&gt;=0,G$353,99)</f>
        <v>99.0</v>
      </c>
      <c r="H360" s="51">
        <f>IF(H358&gt;=0,H$353,99)</f>
        <v>99.0</v>
      </c>
      <c r="I360" s="51">
        <f>IF(I358&gt;=0,I$353,99)</f>
        <v>99.0</v>
      </c>
      <c r="J360" s="51">
        <f>IF(J358&gt;=0,J$353,99)</f>
        <v>99.0</v>
      </c>
      <c r="K360" s="51">
        <f>IF(K358&gt;=0,K$353,99)</f>
        <v>99.0</v>
      </c>
      <c r="L360" s="51">
        <f>IF(L358&gt;=0,L$353,99)</f>
        <v>99.0</v>
      </c>
      <c r="M360" s="51">
        <f>IF(M358&gt;=0,M$353,99)</f>
        <v>99.0</v>
      </c>
      <c r="N360" s="51">
        <f>IF(N358&gt;=0,N$353,99)</f>
        <v>99.0</v>
      </c>
      <c r="O360" s="51">
        <f>IF(O358&gt;=0,O$353,99)</f>
        <v>99.0</v>
      </c>
      <c r="P360" s="51">
        <f>IF(P358&gt;=0,P$353,99)</f>
        <v>99.0</v>
      </c>
      <c r="Q360" s="51">
        <f>IF(Q358&gt;=0,Q$353,99)</f>
        <v>99.0</v>
      </c>
      <c r="R360" s="51">
        <f>IF(R358&gt;=0,R$353,99)</f>
        <v>99.0</v>
      </c>
      <c r="S360" s="51">
        <f>IF(S358&gt;=0,S$353,99)</f>
        <v>99.0</v>
      </c>
      <c r="T360" s="51">
        <f>IF(T358&gt;=0,T$353,99)</f>
        <v>99.0</v>
      </c>
      <c r="U360" s="51">
        <f>IF(U358&gt;=0,U$353,99)</f>
        <v>99.0</v>
      </c>
      <c r="V360" s="51">
        <f>IF(V358&gt;=0,V$353,99)</f>
        <v>99.0</v>
      </c>
      <c r="W360" s="51">
        <f>IF(W358&gt;=0,W$353,99)</f>
        <v>99.0</v>
      </c>
      <c r="X360" s="51">
        <f>IF(X358&gt;=0,X$353,99)</f>
        <v>99.0</v>
      </c>
      <c r="Y360" s="51">
        <f>IF(Y358&gt;=0,Y$353,99)</f>
        <v>99.0</v>
      </c>
      <c r="Z360" s="51">
        <f>IF(Z358&gt;=0,Z$353,99)</f>
        <v>99.0</v>
      </c>
    </row>
    <row r="362">
      <c r="A362" s="4" t="inlineStr">
        <is>
          <t>R3 = R2 + affiliate/organic CPA cut</t>
        </is>
      </c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>
      <c r="A363" s="16" t="inlineStr">
        <is>
          <t>Month</t>
        </is>
      </c>
      <c r="B363" s="16" t="inlineStr">
        <is>
          <t>Total</t>
        </is>
      </c>
      <c r="C363" s="21" t="n">
        <v>1</v>
      </c>
      <c r="D363" s="21" t="n">
        <v>2</v>
      </c>
      <c r="E363" s="21" t="n">
        <v>3</v>
      </c>
      <c r="F363" s="21" t="n">
        <v>4</v>
      </c>
      <c r="G363" s="21" t="n">
        <v>5</v>
      </c>
      <c r="H363" s="21" t="n">
        <v>6</v>
      </c>
      <c r="I363" s="21" t="n">
        <v>7</v>
      </c>
      <c r="J363" s="21" t="n">
        <v>8</v>
      </c>
      <c r="K363" s="21" t="n">
        <v>9</v>
      </c>
      <c r="L363" s="21" t="n">
        <v>10</v>
      </c>
      <c r="M363" s="21" t="n">
        <v>11</v>
      </c>
      <c r="N363" s="21" t="n">
        <v>12</v>
      </c>
      <c r="O363" s="21" t="n">
        <v>13</v>
      </c>
      <c r="P363" s="21" t="n">
        <v>14</v>
      </c>
      <c r="Q363" s="21" t="n">
        <v>15</v>
      </c>
      <c r="R363" s="21" t="n">
        <v>16</v>
      </c>
      <c r="S363" s="21" t="n">
        <v>17</v>
      </c>
      <c r="T363" s="21" t="n">
        <v>18</v>
      </c>
      <c r="U363" s="21" t="n">
        <v>19</v>
      </c>
      <c r="V363" s="21" t="n">
        <v>20</v>
      </c>
      <c r="W363" s="21" t="n">
        <v>21</v>
      </c>
      <c r="X363" s="21" t="n">
        <v>22</v>
      </c>
      <c r="Y363" s="21" t="n">
        <v>23</v>
      </c>
      <c r="Z363" s="21" t="n">
        <v>24</v>
      </c>
    </row>
    <row r="364">
      <c r="A364" s="3" t="inlineStr">
        <is>
          <t>Subscription renewal orders</t>
        </is>
      </c>
      <c r="B364" s="48">
        <f>SUM(C364:Z364)</f>
        <v>26.5560273110036</v>
      </c>
      <c r="C364" s="46">
        <f>IF(AND(C$363&gt;=$F$65,MOD(C$363-$F$65,$F$66)=0),$F$61*$F$67*$F$68^((C$363-$F$65)/$F$66),0)</f>
        <v>0.0</v>
      </c>
      <c r="D364" s="46">
        <f>IF(AND(D$363&gt;=$F$65,MOD(D$363-$F$65,$F$66)=0),$F$61*$F$67*$F$68^((D$363-$F$65)/$F$66),0)</f>
        <v>0.0</v>
      </c>
      <c r="E364" s="46">
        <f>IF(AND(E$363&gt;=$F$65,MOD(E$363-$F$65,$F$66)=0),$F$61*$F$67*$F$68^((E$363-$F$65)/$F$66),0)</f>
        <v>0.0</v>
      </c>
      <c r="F364" s="46">
        <f>IF(AND(F$363&gt;=$F$65,MOD(F$363-$F$65,$F$66)=0),$F$61*$F$67*$F$68^((F$363-$F$65)/$F$66),0)</f>
        <v>0.0</v>
      </c>
      <c r="G364" s="46">
        <f>IF(AND(G$363&gt;=$F$65,MOD(G$363-$F$65,$F$66)=0),$F$61*$F$67*$F$68^((G$363-$F$65)/$F$66),0)</f>
        <v>0.0</v>
      </c>
      <c r="H364" s="46">
        <f>IF(AND(H$363&gt;=$F$65,MOD(H$363-$F$65,$F$66)=0),$F$61*$F$67*$F$68^((H$363-$F$65)/$F$66),0)</f>
        <v>0.0</v>
      </c>
      <c r="I364" s="46">
        <f>IF(AND(I$363&gt;=$F$65,MOD(I$363-$F$65,$F$66)=0),$F$61*$F$67*$F$68^((I$363-$F$65)/$F$66),0)</f>
        <v>12.223784242907014</v>
      </c>
      <c r="J364" s="46">
        <f>IF(AND(J$363&gt;=$F$65,MOD(J$363-$F$65,$F$66)=0),$F$61*$F$67*$F$68^((J$363-$F$65)/$F$66),0)</f>
        <v>0.0</v>
      </c>
      <c r="K364" s="46">
        <f>IF(AND(K$363&gt;=$F$65,MOD(K$363-$F$65,$F$66)=0),$F$61*$F$67*$F$68^((K$363-$F$65)/$F$66),0)</f>
        <v>0.0</v>
      </c>
      <c r="L364" s="46">
        <f>IF(AND(L$363&gt;=$F$65,MOD(L$363-$F$65,$F$66)=0),$F$61*$F$67*$F$68^((L$363-$F$65)/$F$66),0)</f>
        <v>0.0</v>
      </c>
      <c r="M364" s="46">
        <f>IF(AND(M$363&gt;=$F$65,MOD(M$363-$F$65,$F$66)=0),$F$61*$F$67*$F$68^((M$363-$F$65)/$F$66),0)</f>
        <v>0.0</v>
      </c>
      <c r="N364" s="46">
        <f>IF(AND(N$363&gt;=$F$65,MOD(N$363-$F$65,$F$66)=0),$F$61*$F$67*$F$68^((N$363-$F$65)/$F$66),0)</f>
        <v>0.0</v>
      </c>
      <c r="O364" s="46">
        <f>IF(AND(O$363&gt;=$F$65,MOD(O$363-$F$65,$F$66)=0),$F$61*$F$67*$F$68^((O$363-$F$65)/$F$66),0)</f>
        <v>8.467184402304703</v>
      </c>
      <c r="P364" s="46">
        <f>IF(AND(P$363&gt;=$F$65,MOD(P$363-$F$65,$F$66)=0),$F$61*$F$67*$F$68^((P$363-$F$65)/$F$66),0)</f>
        <v>0.0</v>
      </c>
      <c r="Q364" s="46">
        <f>IF(AND(Q$363&gt;=$F$65,MOD(Q$363-$F$65,$F$66)=0),$F$61*$F$67*$F$68^((Q$363-$F$65)/$F$66),0)</f>
        <v>0.0</v>
      </c>
      <c r="R364" s="46">
        <f>IF(AND(R$363&gt;=$F$65,MOD(R$363-$F$65,$F$66)=0),$F$61*$F$67*$F$68^((R$363-$F$65)/$F$66),0)</f>
        <v>0.0</v>
      </c>
      <c r="S364" s="46">
        <f>IF(AND(S$363&gt;=$F$65,MOD(S$363-$F$65,$F$66)=0),$F$61*$F$67*$F$68^((S$363-$F$65)/$F$66),0)</f>
        <v>0.0</v>
      </c>
      <c r="T364" s="46">
        <f>IF(AND(T$363&gt;=$F$65,MOD(T$363-$F$65,$F$66)=0),$F$61*$F$67*$F$68^((T$363-$F$65)/$F$66),0)</f>
        <v>0.0</v>
      </c>
      <c r="U364" s="46">
        <f>IF(AND(U$363&gt;=$F$65,MOD(U$363-$F$65,$F$66)=0),$F$61*$F$67*$F$68^((U$363-$F$65)/$F$66),0)</f>
        <v>5.865058665791882</v>
      </c>
      <c r="V364" s="46">
        <f>IF(AND(V$363&gt;=$F$65,MOD(V$363-$F$65,$F$66)=0),$F$61*$F$67*$F$68^((V$363-$F$65)/$F$66),0)</f>
        <v>0.0</v>
      </c>
      <c r="W364" s="46">
        <f>IF(AND(W$363&gt;=$F$65,MOD(W$363-$F$65,$F$66)=0),$F$61*$F$67*$F$68^((W$363-$F$65)/$F$66),0)</f>
        <v>0.0</v>
      </c>
      <c r="X364" s="46">
        <f>IF(AND(X$363&gt;=$F$65,MOD(X$363-$F$65,$F$66)=0),$F$61*$F$67*$F$68^((X$363-$F$65)/$F$66),0)</f>
        <v>0.0</v>
      </c>
      <c r="Y364" s="46">
        <f>IF(AND(Y$363&gt;=$F$65,MOD(Y$363-$F$65,$F$66)=0),$F$61*$F$67*$F$68^((Y$363-$F$65)/$F$66),0)</f>
        <v>0.0</v>
      </c>
      <c r="Z364" s="46">
        <f>IF(AND(Z$363&gt;=$F$65,MOD(Z$363-$F$65,$F$66)=0),$F$61*$F$67*$F$68^((Z$363-$F$65)/$F$66),0)</f>
        <v>0.0</v>
      </c>
    </row>
    <row r="365">
      <c r="A365" s="3" t="inlineStr">
        <is>
          <t>Occasional repeat orders</t>
        </is>
      </c>
      <c r="B365" s="48">
        <f>SUM(C365:Z365)</f>
        <v>31.36</v>
      </c>
      <c r="C365" s="46">
        <f>IF(AND(C$363&gt;=$F$70,MOD(C$363-$F$70,$F$71)=0),$F$62*$F$72^((C$363-$F$70)/$F$71),0)</f>
        <v>0.0</v>
      </c>
      <c r="D365" s="46">
        <f>IF(AND(D$363&gt;=$F$70,MOD(D$363-$F$70,$F$71)=0),$F$62*$F$72^((D$363-$F$70)/$F$71),0)</f>
        <v>0.0</v>
      </c>
      <c r="E365" s="46">
        <f>IF(AND(E$363&gt;=$F$70,MOD(E$363-$F$70,$F$71)=0),$F$62*$F$72^((E$363-$F$70)/$F$71),0)</f>
        <v>0.0</v>
      </c>
      <c r="F365" s="46">
        <f>IF(AND(F$363&gt;=$F$70,MOD(F$363-$F$70,$F$71)=0),$F$62*$F$72^((F$363-$F$70)/$F$71),0)</f>
        <v>0.0</v>
      </c>
      <c r="G365" s="46">
        <f>IF(AND(G$363&gt;=$F$70,MOD(G$363-$F$70,$F$71)=0),$F$62*$F$72^((G$363-$F$70)/$F$71),0)</f>
        <v>0.0</v>
      </c>
      <c r="H365" s="46">
        <f>IF(AND(H$363&gt;=$F$70,MOD(H$363-$F$70,$F$71)=0),$F$62*$F$72^((H$363-$F$70)/$F$71),0)</f>
        <v>0.0</v>
      </c>
      <c r="I365" s="46">
        <f>IF(AND(I$363&gt;=$F$70,MOD(I$363-$F$70,$F$71)=0),$F$62*$F$72^((I$363-$F$70)/$F$71),0)</f>
        <v>16.0</v>
      </c>
      <c r="J365" s="46">
        <f>IF(AND(J$363&gt;=$F$70,MOD(J$363-$F$70,$F$71)=0),$F$62*$F$72^((J$363-$F$70)/$F$71),0)</f>
        <v>0.0</v>
      </c>
      <c r="K365" s="46">
        <f>IF(AND(K$363&gt;=$F$70,MOD(K$363-$F$70,$F$71)=0),$F$62*$F$72^((K$363-$F$70)/$F$71),0)</f>
        <v>0.0</v>
      </c>
      <c r="L365" s="46">
        <f>IF(AND(L$363&gt;=$F$70,MOD(L$363-$F$70,$F$71)=0),$F$62*$F$72^((L$363-$F$70)/$F$71),0)</f>
        <v>0.0</v>
      </c>
      <c r="M365" s="46">
        <f>IF(AND(M$363&gt;=$F$70,MOD(M$363-$F$70,$F$71)=0),$F$62*$F$72^((M$363-$F$70)/$F$71),0)</f>
        <v>0.0</v>
      </c>
      <c r="N365" s="46">
        <f>IF(AND(N$363&gt;=$F$70,MOD(N$363-$F$70,$F$71)=0),$F$62*$F$72^((N$363-$F$70)/$F$71),0)</f>
        <v>0.0</v>
      </c>
      <c r="O365" s="46">
        <f>IF(AND(O$363&gt;=$F$70,MOD(O$363-$F$70,$F$71)=0),$F$62*$F$72^((O$363-$F$70)/$F$71),0)</f>
        <v>0.0</v>
      </c>
      <c r="P365" s="46">
        <f>IF(AND(P$363&gt;=$F$70,MOD(P$363-$F$70,$F$71)=0),$F$62*$F$72^((P$363-$F$70)/$F$71),0)</f>
        <v>0.0</v>
      </c>
      <c r="Q365" s="46">
        <f>IF(AND(Q$363&gt;=$F$70,MOD(Q$363-$F$70,$F$71)=0),$F$62*$F$72^((Q$363-$F$70)/$F$71),0)</f>
        <v>9.6</v>
      </c>
      <c r="R365" s="46">
        <f>IF(AND(R$363&gt;=$F$70,MOD(R$363-$F$70,$F$71)=0),$F$62*$F$72^((R$363-$F$70)/$F$71),0)</f>
        <v>0.0</v>
      </c>
      <c r="S365" s="46">
        <f>IF(AND(S$363&gt;=$F$70,MOD(S$363-$F$70,$F$71)=0),$F$62*$F$72^((S$363-$F$70)/$F$71),0)</f>
        <v>0.0</v>
      </c>
      <c r="T365" s="46">
        <f>IF(AND(T$363&gt;=$F$70,MOD(T$363-$F$70,$F$71)=0),$F$62*$F$72^((T$363-$F$70)/$F$71),0)</f>
        <v>0.0</v>
      </c>
      <c r="U365" s="46">
        <f>IF(AND(U$363&gt;=$F$70,MOD(U$363-$F$70,$F$71)=0),$F$62*$F$72^((U$363-$F$70)/$F$71),0)</f>
        <v>0.0</v>
      </c>
      <c r="V365" s="46">
        <f>IF(AND(V$363&gt;=$F$70,MOD(V$363-$F$70,$F$71)=0),$F$62*$F$72^((V$363-$F$70)/$F$71),0)</f>
        <v>0.0</v>
      </c>
      <c r="W365" s="46">
        <f>IF(AND(W$363&gt;=$F$70,MOD(W$363-$F$70,$F$71)=0),$F$62*$F$72^((W$363-$F$70)/$F$71),0)</f>
        <v>0.0</v>
      </c>
      <c r="X365" s="46">
        <f>IF(AND(X$363&gt;=$F$70,MOD(X$363-$F$70,$F$71)=0),$F$62*$F$72^((X$363-$F$70)/$F$71),0)</f>
        <v>0.0</v>
      </c>
      <c r="Y365" s="46">
        <f>IF(AND(Y$363&gt;=$F$70,MOD(Y$363-$F$70,$F$71)=0),$F$62*$F$72^((Y$363-$F$70)/$F$71),0)</f>
        <v>5.76</v>
      </c>
      <c r="Z365" s="46">
        <f>IF(AND(Z$363&gt;=$F$70,MOD(Z$363-$F$70,$F$71)=0),$F$62*$F$72^((Z$363-$F$70)/$F$71),0)</f>
        <v>0.0</v>
      </c>
    </row>
    <row r="366">
      <c r="A366" s="3" t="inlineStr">
        <is>
          <t>Contribution before CAC</t>
        </is>
      </c>
      <c r="B366" s="30">
        <f>SUM(C366:Z366)</f>
        <v>1643.4630924263697</v>
      </c>
      <c r="C366" s="33">
        <f>IF(C$363=1,$F$58*$F$39,0)+C364*$F$53+C365*$F$56</f>
        <v>1288.6686324999991</v>
      </c>
      <c r="D366" s="33">
        <f>IF(D$363=1,$F$58*$F$39,0)+D364*$F$53+D365*$F$56</f>
        <v>0.0</v>
      </c>
      <c r="E366" s="33">
        <f>IF(E$363=1,$F$58*$F$39,0)+E364*$F$53+E365*$F$56</f>
        <v>0.0</v>
      </c>
      <c r="F366" s="33">
        <f>IF(F$363=1,$F$58*$F$39,0)+F364*$F$53+F365*$F$56</f>
        <v>0.0</v>
      </c>
      <c r="G366" s="33">
        <f>IF(G$363=1,$F$58*$F$39,0)+G364*$F$53+G365*$F$56</f>
        <v>0.0</v>
      </c>
      <c r="H366" s="33">
        <f>IF(H$363=1,$F$58*$F$39,0)+H364*$F$53+H365*$F$56</f>
        <v>0.0</v>
      </c>
      <c r="I366" s="33">
        <f>IF(I$363=1,$F$58*$F$39,0)+I364*$F$53+I365*$F$56</f>
        <v>174.9616137089214</v>
      </c>
      <c r="J366" s="33">
        <f>IF(J$363=1,$F$58*$F$39,0)+J364*$F$53+J365*$F$56</f>
        <v>0.0</v>
      </c>
      <c r="K366" s="33">
        <f>IF(K$363=1,$F$58*$F$39,0)+K364*$F$53+K365*$F$56</f>
        <v>0.0</v>
      </c>
      <c r="L366" s="33">
        <f>IF(L$363=1,$F$58*$F$39,0)+L364*$F$53+L365*$F$56</f>
        <v>0.0</v>
      </c>
      <c r="M366" s="33">
        <f>IF(M$363=1,$F$58*$F$39,0)+M364*$F$53+M365*$F$56</f>
        <v>0.0</v>
      </c>
      <c r="N366" s="33">
        <f>IF(N$363=1,$F$58*$F$39,0)+N364*$F$53+N365*$F$56</f>
        <v>0.0</v>
      </c>
      <c r="O366" s="33">
        <f>IF(O$363=1,$F$58*$F$39,0)+O364*$F$53+O365*$F$56</f>
        <v>38.693508625340066</v>
      </c>
      <c r="P366" s="33">
        <f>IF(P$363=1,$F$58*$F$39,0)+P364*$F$53+P365*$F$56</f>
        <v>0.0</v>
      </c>
      <c r="Q366" s="33">
        <f>IF(Q$363=1,$F$58*$F$39,0)+Q364*$F$53+Q365*$F$56</f>
        <v>71.46067200000003</v>
      </c>
      <c r="R366" s="33">
        <f>IF(R$363=1,$F$58*$F$39,0)+R364*$F$53+R365*$F$56</f>
        <v>0.0</v>
      </c>
      <c r="S366" s="33">
        <f>IF(S$363=1,$F$58*$F$39,0)+S364*$F$53+S365*$F$56</f>
        <v>0.0</v>
      </c>
      <c r="T366" s="33">
        <f>IF(T$363=1,$F$58*$F$39,0)+T364*$F$53+T365*$F$56</f>
        <v>0.0</v>
      </c>
      <c r="U366" s="33">
        <f>IF(U$363=1,$F$58*$F$39,0)+U364*$F$53+U365*$F$56</f>
        <v>26.80226239210905</v>
      </c>
      <c r="V366" s="33">
        <f>IF(V$363=1,$F$58*$F$39,0)+V364*$F$53+V365*$F$56</f>
        <v>0.0</v>
      </c>
      <c r="W366" s="33">
        <f>IF(W$363=1,$F$58*$F$39,0)+W364*$F$53+W365*$F$56</f>
        <v>0.0</v>
      </c>
      <c r="X366" s="33">
        <f>IF(X$363=1,$F$58*$F$39,0)+X364*$F$53+X365*$F$56</f>
        <v>0.0</v>
      </c>
      <c r="Y366" s="33">
        <f>IF(Y$363=1,$F$58*$F$39,0)+Y364*$F$53+Y365*$F$56</f>
        <v>42.87640320000002</v>
      </c>
      <c r="Z366" s="33">
        <f>IF(Z$363=1,$F$58*$F$39,0)+Z364*$F$53+Z365*$F$56</f>
        <v>0.0</v>
      </c>
    </row>
    <row r="367">
      <c r="A367" s="3" t="inlineStr">
        <is>
          <t>CAC</t>
        </is>
      </c>
      <c r="B367" s="30">
        <f>SUM(C367:Z367)</f>
        <v>-2925.0</v>
      </c>
      <c r="C367" s="33">
        <f>IF(C$363=1,-$F$58*$F$21,0)</f>
        <v>-2925.0</v>
      </c>
      <c r="D367" s="33">
        <f>IF(D$363=1,-$F$58*$F$21,0)</f>
        <v>0.0</v>
      </c>
      <c r="E367" s="33">
        <f>IF(E$363=1,-$F$58*$F$21,0)</f>
        <v>0.0</v>
      </c>
      <c r="F367" s="33">
        <f>IF(F$363=1,-$F$58*$F$21,0)</f>
        <v>0.0</v>
      </c>
      <c r="G367" s="33">
        <f>IF(G$363=1,-$F$58*$F$21,0)</f>
        <v>0.0</v>
      </c>
      <c r="H367" s="33">
        <f>IF(H$363=1,-$F$58*$F$21,0)</f>
        <v>0.0</v>
      </c>
      <c r="I367" s="33">
        <f>IF(I$363=1,-$F$58*$F$21,0)</f>
        <v>0.0</v>
      </c>
      <c r="J367" s="33">
        <f>IF(J$363=1,-$F$58*$F$21,0)</f>
        <v>0.0</v>
      </c>
      <c r="K367" s="33">
        <f>IF(K$363=1,-$F$58*$F$21,0)</f>
        <v>0.0</v>
      </c>
      <c r="L367" s="33">
        <f>IF(L$363=1,-$F$58*$F$21,0)</f>
        <v>0.0</v>
      </c>
      <c r="M367" s="33">
        <f>IF(M$363=1,-$F$58*$F$21,0)</f>
        <v>0.0</v>
      </c>
      <c r="N367" s="33">
        <f>IF(N$363=1,-$F$58*$F$21,0)</f>
        <v>0.0</v>
      </c>
      <c r="O367" s="33">
        <f>IF(O$363=1,-$F$58*$F$21,0)</f>
        <v>0.0</v>
      </c>
      <c r="P367" s="33">
        <f>IF(P$363=1,-$F$58*$F$21,0)</f>
        <v>0.0</v>
      </c>
      <c r="Q367" s="33">
        <f>IF(Q$363=1,-$F$58*$F$21,0)</f>
        <v>0.0</v>
      </c>
      <c r="R367" s="33">
        <f>IF(R$363=1,-$F$58*$F$21,0)</f>
        <v>0.0</v>
      </c>
      <c r="S367" s="33">
        <f>IF(S$363=1,-$F$58*$F$21,0)</f>
        <v>0.0</v>
      </c>
      <c r="T367" s="33">
        <f>IF(T$363=1,-$F$58*$F$21,0)</f>
        <v>0.0</v>
      </c>
      <c r="U367" s="33">
        <f>IF(U$363=1,-$F$58*$F$21,0)</f>
        <v>0.0</v>
      </c>
      <c r="V367" s="33">
        <f>IF(V$363=1,-$F$58*$F$21,0)</f>
        <v>0.0</v>
      </c>
      <c r="W367" s="33">
        <f>IF(W$363=1,-$F$58*$F$21,0)</f>
        <v>0.0</v>
      </c>
      <c r="X367" s="33">
        <f>IF(X$363=1,-$F$58*$F$21,0)</f>
        <v>0.0</v>
      </c>
      <c r="Y367" s="33">
        <f>IF(Y$363=1,-$F$58*$F$21,0)</f>
        <v>0.0</v>
      </c>
      <c r="Z367" s="33">
        <f>IF(Z$363=1,-$F$58*$F$21,0)</f>
        <v>0.0</v>
      </c>
    </row>
    <row r="368">
      <c r="A368" s="16" t="inlineStr">
        <is>
          <t>Cumulative contribution after CAC</t>
        </is>
      </c>
      <c r="C368" s="30">
        <f>C366+C367</f>
        <v>-1636.3313675000009</v>
      </c>
      <c r="D368" s="30">
        <f>C368+D366+D367</f>
        <v>-1636.3313675000009</v>
      </c>
      <c r="E368" s="30">
        <f>D368+E366+E367</f>
        <v>-1636.3313675000009</v>
      </c>
      <c r="F368" s="30">
        <f>E368+F366+F367</f>
        <v>-1636.3313675000009</v>
      </c>
      <c r="G368" s="30">
        <f>F368+G366+G367</f>
        <v>-1636.3313675000009</v>
      </c>
      <c r="H368" s="30">
        <f>G368+H366+H367</f>
        <v>-1636.3313675000009</v>
      </c>
      <c r="I368" s="30">
        <f>H368+I366+I367</f>
        <v>-1461.3697537910793</v>
      </c>
      <c r="J368" s="30">
        <f>I368+J366+J367</f>
        <v>-1461.3697537910793</v>
      </c>
      <c r="K368" s="30">
        <f>J368+K366+K367</f>
        <v>-1461.3697537910793</v>
      </c>
      <c r="L368" s="30">
        <f>K368+L366+L367</f>
        <v>-1461.3697537910793</v>
      </c>
      <c r="M368" s="30">
        <f>L368+M366+M367</f>
        <v>-1461.3697537910793</v>
      </c>
      <c r="N368" s="30">
        <f>M368+N366+N367</f>
        <v>-1461.3697537910793</v>
      </c>
      <c r="O368" s="30">
        <f>N368+O366+O367</f>
        <v>-1422.6762451657394</v>
      </c>
      <c r="P368" s="30">
        <f>O368+P366+P367</f>
        <v>-1422.6762451657394</v>
      </c>
      <c r="Q368" s="30">
        <f>P368+Q366+Q367</f>
        <v>-1351.2155731657394</v>
      </c>
      <c r="R368" s="30">
        <f>Q368+R366+R367</f>
        <v>-1351.2155731657394</v>
      </c>
      <c r="S368" s="30">
        <f>R368+S366+S367</f>
        <v>-1351.2155731657394</v>
      </c>
      <c r="T368" s="30">
        <f>S368+T366+T367</f>
        <v>-1351.2155731657394</v>
      </c>
      <c r="U368" s="30">
        <f>T368+U366+U367</f>
        <v>-1324.4133107736304</v>
      </c>
      <c r="V368" s="30">
        <f>U368+V366+V367</f>
        <v>-1324.4133107736304</v>
      </c>
      <c r="W368" s="30">
        <f>V368+W366+W367</f>
        <v>-1324.4133107736304</v>
      </c>
      <c r="X368" s="30">
        <f>W368+X366+X367</f>
        <v>-1324.4133107736304</v>
      </c>
      <c r="Y368" s="30">
        <f>X368+Y366+Y367</f>
        <v>-1281.5369075736305</v>
      </c>
      <c r="Z368" s="30">
        <f>Y368+Z366+Z367</f>
        <v>-1281.5369075736305</v>
      </c>
    </row>
    <row r="369">
      <c r="A369" s="3" t="inlineStr">
        <is>
          <t>Cumulative contribution before CAC per customer</t>
        </is>
      </c>
      <c r="C369" s="26">
        <f>SUM($C366:C366)/$F$58</f>
        <v>12.886686324999992</v>
      </c>
      <c r="D369" s="26">
        <f>SUM($C366:D366)/$F$58</f>
        <v>12.886686324999992</v>
      </c>
      <c r="E369" s="26">
        <f>SUM($C366:E366)/$F$58</f>
        <v>12.886686324999992</v>
      </c>
      <c r="F369" s="26">
        <f>SUM($C366:F366)/$F$58</f>
        <v>12.886686324999992</v>
      </c>
      <c r="G369" s="26">
        <f>SUM($C366:G366)/$F$58</f>
        <v>12.886686324999992</v>
      </c>
      <c r="H369" s="26">
        <f>SUM($C366:H366)/$F$58</f>
        <v>12.886686324999992</v>
      </c>
      <c r="I369" s="26">
        <f>SUM($C366:I366)/$F$58</f>
        <v>14.636302462089207</v>
      </c>
      <c r="J369" s="26">
        <f>SUM($C366:J366)/$F$58</f>
        <v>14.636302462089207</v>
      </c>
      <c r="K369" s="26">
        <f>SUM($C366:K366)/$F$58</f>
        <v>14.636302462089207</v>
      </c>
      <c r="L369" s="26">
        <f>SUM($C366:L366)/$F$58</f>
        <v>14.636302462089207</v>
      </c>
      <c r="M369" s="26">
        <f>SUM($C366:M366)/$F$58</f>
        <v>14.636302462089207</v>
      </c>
      <c r="N369" s="26">
        <f>SUM($C366:N366)/$F$58</f>
        <v>14.636302462089207</v>
      </c>
      <c r="O369" s="26">
        <f>SUM($C366:O366)/$F$58</f>
        <v>15.023237548342607</v>
      </c>
      <c r="P369" s="26">
        <f>SUM($C366:P366)/$F$58</f>
        <v>15.023237548342607</v>
      </c>
      <c r="Q369" s="26">
        <f>SUM($C366:Q366)/$F$58</f>
        <v>15.737844268342606</v>
      </c>
      <c r="R369" s="26">
        <f>SUM($C366:R366)/$F$58</f>
        <v>15.737844268342606</v>
      </c>
      <c r="S369" s="26">
        <f>SUM($C366:S366)/$F$58</f>
        <v>15.737844268342606</v>
      </c>
      <c r="T369" s="26">
        <f>SUM($C366:T366)/$F$58</f>
        <v>15.737844268342606</v>
      </c>
      <c r="U369" s="26">
        <f>SUM($C366:U366)/$F$58</f>
        <v>16.005866892263697</v>
      </c>
      <c r="V369" s="26">
        <f>SUM($C366:V366)/$F$58</f>
        <v>16.005866892263697</v>
      </c>
      <c r="W369" s="26">
        <f>SUM($C366:W366)/$F$58</f>
        <v>16.005866892263697</v>
      </c>
      <c r="X369" s="26">
        <f>SUM($C366:X366)/$F$58</f>
        <v>16.005866892263697</v>
      </c>
      <c r="Y369" s="26">
        <f>SUM($C366:Y366)/$F$58</f>
        <v>16.434630924263697</v>
      </c>
      <c r="Z369" s="26">
        <f>SUM($C366:Z366)/$F$58</f>
        <v>16.434630924263697</v>
      </c>
    </row>
    <row r="370">
      <c r="A370" s="3" t="inlineStr">
        <is>
          <t>Payback helper (month if cumulative &gt;= 0, else 99)</t>
        </is>
      </c>
      <c r="C370" s="51">
        <f>IF(C368&gt;=0,C$363,99)</f>
        <v>99.0</v>
      </c>
      <c r="D370" s="51">
        <f>IF(D368&gt;=0,D$363,99)</f>
        <v>99.0</v>
      </c>
      <c r="E370" s="51">
        <f>IF(E368&gt;=0,E$363,99)</f>
        <v>99.0</v>
      </c>
      <c r="F370" s="51">
        <f>IF(F368&gt;=0,F$363,99)</f>
        <v>99.0</v>
      </c>
      <c r="G370" s="51">
        <f>IF(G368&gt;=0,G$363,99)</f>
        <v>99.0</v>
      </c>
      <c r="H370" s="51">
        <f>IF(H368&gt;=0,H$363,99)</f>
        <v>99.0</v>
      </c>
      <c r="I370" s="51">
        <f>IF(I368&gt;=0,I$363,99)</f>
        <v>99.0</v>
      </c>
      <c r="J370" s="51">
        <f>IF(J368&gt;=0,J$363,99)</f>
        <v>99.0</v>
      </c>
      <c r="K370" s="51">
        <f>IF(K368&gt;=0,K$363,99)</f>
        <v>99.0</v>
      </c>
      <c r="L370" s="51">
        <f>IF(L368&gt;=0,L$363,99)</f>
        <v>99.0</v>
      </c>
      <c r="M370" s="51">
        <f>IF(M368&gt;=0,M$363,99)</f>
        <v>99.0</v>
      </c>
      <c r="N370" s="51">
        <f>IF(N368&gt;=0,N$363,99)</f>
        <v>99.0</v>
      </c>
      <c r="O370" s="51">
        <f>IF(O368&gt;=0,O$363,99)</f>
        <v>99.0</v>
      </c>
      <c r="P370" s="51">
        <f>IF(P368&gt;=0,P$363,99)</f>
        <v>99.0</v>
      </c>
      <c r="Q370" s="51">
        <f>IF(Q368&gt;=0,Q$363,99)</f>
        <v>99.0</v>
      </c>
      <c r="R370" s="51">
        <f>IF(R368&gt;=0,R$363,99)</f>
        <v>99.0</v>
      </c>
      <c r="S370" s="51">
        <f>IF(S368&gt;=0,S$363,99)</f>
        <v>99.0</v>
      </c>
      <c r="T370" s="51">
        <f>IF(T368&gt;=0,T$363,99)</f>
        <v>99.0</v>
      </c>
      <c r="U370" s="51">
        <f>IF(U368&gt;=0,U$363,99)</f>
        <v>99.0</v>
      </c>
      <c r="V370" s="51">
        <f>IF(V368&gt;=0,V$363,99)</f>
        <v>99.0</v>
      </c>
      <c r="W370" s="51">
        <f>IF(W368&gt;=0,W$363,99)</f>
        <v>99.0</v>
      </c>
      <c r="X370" s="51">
        <f>IF(X368&gt;=0,X$363,99)</f>
        <v>99.0</v>
      </c>
      <c r="Y370" s="51">
        <f>IF(Y368&gt;=0,Y$363,99)</f>
        <v>99.0</v>
      </c>
      <c r="Z370" s="51">
        <f>IF(Z368&gt;=0,Z$363,99)</f>
        <v>99.0</v>
      </c>
    </row>
    <row r="372">
      <c r="A372" s="4" t="inlineStr">
        <is>
          <t>R4 = R2 + non-China OEM</t>
        </is>
      </c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>
      <c r="A373" s="16" t="inlineStr">
        <is>
          <t>Month</t>
        </is>
      </c>
      <c r="B373" s="16" t="inlineStr">
        <is>
          <t>Total</t>
        </is>
      </c>
      <c r="C373" s="21" t="n">
        <v>1</v>
      </c>
      <c r="D373" s="21" t="n">
        <v>2</v>
      </c>
      <c r="E373" s="21" t="n">
        <v>3</v>
      </c>
      <c r="F373" s="21" t="n">
        <v>4</v>
      </c>
      <c r="G373" s="21" t="n">
        <v>5</v>
      </c>
      <c r="H373" s="21" t="n">
        <v>6</v>
      </c>
      <c r="I373" s="21" t="n">
        <v>7</v>
      </c>
      <c r="J373" s="21" t="n">
        <v>8</v>
      </c>
      <c r="K373" s="21" t="n">
        <v>9</v>
      </c>
      <c r="L373" s="21" t="n">
        <v>10</v>
      </c>
      <c r="M373" s="21" t="n">
        <v>11</v>
      </c>
      <c r="N373" s="21" t="n">
        <v>12</v>
      </c>
      <c r="O373" s="21" t="n">
        <v>13</v>
      </c>
      <c r="P373" s="21" t="n">
        <v>14</v>
      </c>
      <c r="Q373" s="21" t="n">
        <v>15</v>
      </c>
      <c r="R373" s="21" t="n">
        <v>16</v>
      </c>
      <c r="S373" s="21" t="n">
        <v>17</v>
      </c>
      <c r="T373" s="21" t="n">
        <v>18</v>
      </c>
      <c r="U373" s="21" t="n">
        <v>19</v>
      </c>
      <c r="V373" s="21" t="n">
        <v>20</v>
      </c>
      <c r="W373" s="21" t="n">
        <v>21</v>
      </c>
      <c r="X373" s="21" t="n">
        <v>22</v>
      </c>
      <c r="Y373" s="21" t="n">
        <v>23</v>
      </c>
      <c r="Z373" s="21" t="n">
        <v>24</v>
      </c>
    </row>
    <row r="374">
      <c r="A374" s="3" t="inlineStr">
        <is>
          <t>Subscription renewal orders</t>
        </is>
      </c>
      <c r="B374" s="48">
        <f>SUM(C374:Z374)</f>
        <v>26.5560273110036</v>
      </c>
      <c r="C374" s="46">
        <f>IF(AND(C$373&gt;=$G$65,MOD(C$373-$G$65,$G$66)=0),$G$61*$G$67*$G$68^((C$373-$G$65)/$G$66),0)</f>
        <v>0.0</v>
      </c>
      <c r="D374" s="46">
        <f>IF(AND(D$373&gt;=$G$65,MOD(D$373-$G$65,$G$66)=0),$G$61*$G$67*$G$68^((D$373-$G$65)/$G$66),0)</f>
        <v>0.0</v>
      </c>
      <c r="E374" s="46">
        <f>IF(AND(E$373&gt;=$G$65,MOD(E$373-$G$65,$G$66)=0),$G$61*$G$67*$G$68^((E$373-$G$65)/$G$66),0)</f>
        <v>0.0</v>
      </c>
      <c r="F374" s="46">
        <f>IF(AND(F$373&gt;=$G$65,MOD(F$373-$G$65,$G$66)=0),$G$61*$G$67*$G$68^((F$373-$G$65)/$G$66),0)</f>
        <v>0.0</v>
      </c>
      <c r="G374" s="46">
        <f>IF(AND(G$373&gt;=$G$65,MOD(G$373-$G$65,$G$66)=0),$G$61*$G$67*$G$68^((G$373-$G$65)/$G$66),0)</f>
        <v>0.0</v>
      </c>
      <c r="H374" s="46">
        <f>IF(AND(H$373&gt;=$G$65,MOD(H$373-$G$65,$G$66)=0),$G$61*$G$67*$G$68^((H$373-$G$65)/$G$66),0)</f>
        <v>0.0</v>
      </c>
      <c r="I374" s="46">
        <f>IF(AND(I$373&gt;=$G$65,MOD(I$373-$G$65,$G$66)=0),$G$61*$G$67*$G$68^((I$373-$G$65)/$G$66),0)</f>
        <v>12.223784242907014</v>
      </c>
      <c r="J374" s="46">
        <f>IF(AND(J$373&gt;=$G$65,MOD(J$373-$G$65,$G$66)=0),$G$61*$G$67*$G$68^((J$373-$G$65)/$G$66),0)</f>
        <v>0.0</v>
      </c>
      <c r="K374" s="46">
        <f>IF(AND(K$373&gt;=$G$65,MOD(K$373-$G$65,$G$66)=0),$G$61*$G$67*$G$68^((K$373-$G$65)/$G$66),0)</f>
        <v>0.0</v>
      </c>
      <c r="L374" s="46">
        <f>IF(AND(L$373&gt;=$G$65,MOD(L$373-$G$65,$G$66)=0),$G$61*$G$67*$G$68^((L$373-$G$65)/$G$66),0)</f>
        <v>0.0</v>
      </c>
      <c r="M374" s="46">
        <f>IF(AND(M$373&gt;=$G$65,MOD(M$373-$G$65,$G$66)=0),$G$61*$G$67*$G$68^((M$373-$G$65)/$G$66),0)</f>
        <v>0.0</v>
      </c>
      <c r="N374" s="46">
        <f>IF(AND(N$373&gt;=$G$65,MOD(N$373-$G$65,$G$66)=0),$G$61*$G$67*$G$68^((N$373-$G$65)/$G$66),0)</f>
        <v>0.0</v>
      </c>
      <c r="O374" s="46">
        <f>IF(AND(O$373&gt;=$G$65,MOD(O$373-$G$65,$G$66)=0),$G$61*$G$67*$G$68^((O$373-$G$65)/$G$66),0)</f>
        <v>8.467184402304703</v>
      </c>
      <c r="P374" s="46">
        <f>IF(AND(P$373&gt;=$G$65,MOD(P$373-$G$65,$G$66)=0),$G$61*$G$67*$G$68^((P$373-$G$65)/$G$66),0)</f>
        <v>0.0</v>
      </c>
      <c r="Q374" s="46">
        <f>IF(AND(Q$373&gt;=$G$65,MOD(Q$373-$G$65,$G$66)=0),$G$61*$G$67*$G$68^((Q$373-$G$65)/$G$66),0)</f>
        <v>0.0</v>
      </c>
      <c r="R374" s="46">
        <f>IF(AND(R$373&gt;=$G$65,MOD(R$373-$G$65,$G$66)=0),$G$61*$G$67*$G$68^((R$373-$G$65)/$G$66),0)</f>
        <v>0.0</v>
      </c>
      <c r="S374" s="46">
        <f>IF(AND(S$373&gt;=$G$65,MOD(S$373-$G$65,$G$66)=0),$G$61*$G$67*$G$68^((S$373-$G$65)/$G$66),0)</f>
        <v>0.0</v>
      </c>
      <c r="T374" s="46">
        <f>IF(AND(T$373&gt;=$G$65,MOD(T$373-$G$65,$G$66)=0),$G$61*$G$67*$G$68^((T$373-$G$65)/$G$66),0)</f>
        <v>0.0</v>
      </c>
      <c r="U374" s="46">
        <f>IF(AND(U$373&gt;=$G$65,MOD(U$373-$G$65,$G$66)=0),$G$61*$G$67*$G$68^((U$373-$G$65)/$G$66),0)</f>
        <v>5.865058665791882</v>
      </c>
      <c r="V374" s="46">
        <f>IF(AND(V$373&gt;=$G$65,MOD(V$373-$G$65,$G$66)=0),$G$61*$G$67*$G$68^((V$373-$G$65)/$G$66),0)</f>
        <v>0.0</v>
      </c>
      <c r="W374" s="46">
        <f>IF(AND(W$373&gt;=$G$65,MOD(W$373-$G$65,$G$66)=0),$G$61*$G$67*$G$68^((W$373-$G$65)/$G$66),0)</f>
        <v>0.0</v>
      </c>
      <c r="X374" s="46">
        <f>IF(AND(X$373&gt;=$G$65,MOD(X$373-$G$65,$G$66)=0),$G$61*$G$67*$G$68^((X$373-$G$65)/$G$66),0)</f>
        <v>0.0</v>
      </c>
      <c r="Y374" s="46">
        <f>IF(AND(Y$373&gt;=$G$65,MOD(Y$373-$G$65,$G$66)=0),$G$61*$G$67*$G$68^((Y$373-$G$65)/$G$66),0)</f>
        <v>0.0</v>
      </c>
      <c r="Z374" s="46">
        <f>IF(AND(Z$373&gt;=$G$65,MOD(Z$373-$G$65,$G$66)=0),$G$61*$G$67*$G$68^((Z$373-$G$65)/$G$66),0)</f>
        <v>0.0</v>
      </c>
    </row>
    <row r="375">
      <c r="A375" s="3" t="inlineStr">
        <is>
          <t>Occasional repeat orders</t>
        </is>
      </c>
      <c r="B375" s="48">
        <f>SUM(C375:Z375)</f>
        <v>31.36</v>
      </c>
      <c r="C375" s="46">
        <f>IF(AND(C$373&gt;=$G$70,MOD(C$373-$G$70,$G$71)=0),$G$62*$G$72^((C$373-$G$70)/$G$71),0)</f>
        <v>0.0</v>
      </c>
      <c r="D375" s="46">
        <f>IF(AND(D$373&gt;=$G$70,MOD(D$373-$G$70,$G$71)=0),$G$62*$G$72^((D$373-$G$70)/$G$71),0)</f>
        <v>0.0</v>
      </c>
      <c r="E375" s="46">
        <f>IF(AND(E$373&gt;=$G$70,MOD(E$373-$G$70,$G$71)=0),$G$62*$G$72^((E$373-$G$70)/$G$71),0)</f>
        <v>0.0</v>
      </c>
      <c r="F375" s="46">
        <f>IF(AND(F$373&gt;=$G$70,MOD(F$373-$G$70,$G$71)=0),$G$62*$G$72^((F$373-$G$70)/$G$71),0)</f>
        <v>0.0</v>
      </c>
      <c r="G375" s="46">
        <f>IF(AND(G$373&gt;=$G$70,MOD(G$373-$G$70,$G$71)=0),$G$62*$G$72^((G$373-$G$70)/$G$71),0)</f>
        <v>0.0</v>
      </c>
      <c r="H375" s="46">
        <f>IF(AND(H$373&gt;=$G$70,MOD(H$373-$G$70,$G$71)=0),$G$62*$G$72^((H$373-$G$70)/$G$71),0)</f>
        <v>0.0</v>
      </c>
      <c r="I375" s="46">
        <f>IF(AND(I$373&gt;=$G$70,MOD(I$373-$G$70,$G$71)=0),$G$62*$G$72^((I$373-$G$70)/$G$71),0)</f>
        <v>16.0</v>
      </c>
      <c r="J375" s="46">
        <f>IF(AND(J$373&gt;=$G$70,MOD(J$373-$G$70,$G$71)=0),$G$62*$G$72^((J$373-$G$70)/$G$71),0)</f>
        <v>0.0</v>
      </c>
      <c r="K375" s="46">
        <f>IF(AND(K$373&gt;=$G$70,MOD(K$373-$G$70,$G$71)=0),$G$62*$G$72^((K$373-$G$70)/$G$71),0)</f>
        <v>0.0</v>
      </c>
      <c r="L375" s="46">
        <f>IF(AND(L$373&gt;=$G$70,MOD(L$373-$G$70,$G$71)=0),$G$62*$G$72^((L$373-$G$70)/$G$71),0)</f>
        <v>0.0</v>
      </c>
      <c r="M375" s="46">
        <f>IF(AND(M$373&gt;=$G$70,MOD(M$373-$G$70,$G$71)=0),$G$62*$G$72^((M$373-$G$70)/$G$71),0)</f>
        <v>0.0</v>
      </c>
      <c r="N375" s="46">
        <f>IF(AND(N$373&gt;=$G$70,MOD(N$373-$G$70,$G$71)=0),$G$62*$G$72^((N$373-$G$70)/$G$71),0)</f>
        <v>0.0</v>
      </c>
      <c r="O375" s="46">
        <f>IF(AND(O$373&gt;=$G$70,MOD(O$373-$G$70,$G$71)=0),$G$62*$G$72^((O$373-$G$70)/$G$71),0)</f>
        <v>0.0</v>
      </c>
      <c r="P375" s="46">
        <f>IF(AND(P$373&gt;=$G$70,MOD(P$373-$G$70,$G$71)=0),$G$62*$G$72^((P$373-$G$70)/$G$71),0)</f>
        <v>0.0</v>
      </c>
      <c r="Q375" s="46">
        <f>IF(AND(Q$373&gt;=$G$70,MOD(Q$373-$G$70,$G$71)=0),$G$62*$G$72^((Q$373-$G$70)/$G$71),0)</f>
        <v>9.6</v>
      </c>
      <c r="R375" s="46">
        <f>IF(AND(R$373&gt;=$G$70,MOD(R$373-$G$70,$G$71)=0),$G$62*$G$72^((R$373-$G$70)/$G$71),0)</f>
        <v>0.0</v>
      </c>
      <c r="S375" s="46">
        <f>IF(AND(S$373&gt;=$G$70,MOD(S$373-$G$70,$G$71)=0),$G$62*$G$72^((S$373-$G$70)/$G$71),0)</f>
        <v>0.0</v>
      </c>
      <c r="T375" s="46">
        <f>IF(AND(T$373&gt;=$G$70,MOD(T$373-$G$70,$G$71)=0),$G$62*$G$72^((T$373-$G$70)/$G$71),0)</f>
        <v>0.0</v>
      </c>
      <c r="U375" s="46">
        <f>IF(AND(U$373&gt;=$G$70,MOD(U$373-$G$70,$G$71)=0),$G$62*$G$72^((U$373-$G$70)/$G$71),0)</f>
        <v>0.0</v>
      </c>
      <c r="V375" s="46">
        <f>IF(AND(V$373&gt;=$G$70,MOD(V$373-$G$70,$G$71)=0),$G$62*$G$72^((V$373-$G$70)/$G$71),0)</f>
        <v>0.0</v>
      </c>
      <c r="W375" s="46">
        <f>IF(AND(W$373&gt;=$G$70,MOD(W$373-$G$70,$G$71)=0),$G$62*$G$72^((W$373-$G$70)/$G$71),0)</f>
        <v>0.0</v>
      </c>
      <c r="X375" s="46">
        <f>IF(AND(X$373&gt;=$G$70,MOD(X$373-$G$70,$G$71)=0),$G$62*$G$72^((X$373-$G$70)/$G$71),0)</f>
        <v>0.0</v>
      </c>
      <c r="Y375" s="46">
        <f>IF(AND(Y$373&gt;=$G$70,MOD(Y$373-$G$70,$G$71)=0),$G$62*$G$72^((Y$373-$G$70)/$G$71),0)</f>
        <v>5.76</v>
      </c>
      <c r="Z375" s="46">
        <f>IF(AND(Z$373&gt;=$G$70,MOD(Z$373-$G$70,$G$71)=0),$G$62*$G$72^((Z$373-$G$70)/$G$71),0)</f>
        <v>0.0</v>
      </c>
    </row>
    <row r="376">
      <c r="A376" s="3" t="inlineStr">
        <is>
          <t>Contribution before CAC</t>
        </is>
      </c>
      <c r="B376" s="30">
        <f>SUM(C376:Z376)</f>
        <v>2299.4657649263713</v>
      </c>
      <c r="C376" s="33">
        <f>IF(C$373=1,$G$58*$G$39,0)+C374*$G$53+C375*$G$56</f>
        <v>1944.6713050000008</v>
      </c>
      <c r="D376" s="33">
        <f>IF(D$373=1,$G$58*$G$39,0)+D374*$G$53+D375*$G$56</f>
        <v>0.0</v>
      </c>
      <c r="E376" s="33">
        <f>IF(E$373=1,$G$58*$G$39,0)+E374*$G$53+E375*$G$56</f>
        <v>0.0</v>
      </c>
      <c r="F376" s="33">
        <f>IF(F$373=1,$G$58*$G$39,0)+F374*$G$53+F375*$G$56</f>
        <v>0.0</v>
      </c>
      <c r="G376" s="33">
        <f>IF(G$373=1,$G$58*$G$39,0)+G374*$G$53+G375*$G$56</f>
        <v>0.0</v>
      </c>
      <c r="H376" s="33">
        <f>IF(H$373=1,$G$58*$G$39,0)+H374*$G$53+H375*$G$56</f>
        <v>0.0</v>
      </c>
      <c r="I376" s="33">
        <f>IF(I$373=1,$G$58*$G$39,0)+I374*$G$53+I375*$G$56</f>
        <v>174.9616137089214</v>
      </c>
      <c r="J376" s="33">
        <f>IF(J$373=1,$G$58*$G$39,0)+J374*$G$53+J375*$G$56</f>
        <v>0.0</v>
      </c>
      <c r="K376" s="33">
        <f>IF(K$373=1,$G$58*$G$39,0)+K374*$G$53+K375*$G$56</f>
        <v>0.0</v>
      </c>
      <c r="L376" s="33">
        <f>IF(L$373=1,$G$58*$G$39,0)+L374*$G$53+L375*$G$56</f>
        <v>0.0</v>
      </c>
      <c r="M376" s="33">
        <f>IF(M$373=1,$G$58*$G$39,0)+M374*$G$53+M375*$G$56</f>
        <v>0.0</v>
      </c>
      <c r="N376" s="33">
        <f>IF(N$373=1,$G$58*$G$39,0)+N374*$G$53+N375*$G$56</f>
        <v>0.0</v>
      </c>
      <c r="O376" s="33">
        <f>IF(O$373=1,$G$58*$G$39,0)+O374*$G$53+O375*$G$56</f>
        <v>38.693508625340066</v>
      </c>
      <c r="P376" s="33">
        <f>IF(P$373=1,$G$58*$G$39,0)+P374*$G$53+P375*$G$56</f>
        <v>0.0</v>
      </c>
      <c r="Q376" s="33">
        <f>IF(Q$373=1,$G$58*$G$39,0)+Q374*$G$53+Q375*$G$56</f>
        <v>71.46067200000003</v>
      </c>
      <c r="R376" s="33">
        <f>IF(R$373=1,$G$58*$G$39,0)+R374*$G$53+R375*$G$56</f>
        <v>0.0</v>
      </c>
      <c r="S376" s="33">
        <f>IF(S$373=1,$G$58*$G$39,0)+S374*$G$53+S375*$G$56</f>
        <v>0.0</v>
      </c>
      <c r="T376" s="33">
        <f>IF(T$373=1,$G$58*$G$39,0)+T374*$G$53+T375*$G$56</f>
        <v>0.0</v>
      </c>
      <c r="U376" s="33">
        <f>IF(U$373=1,$G$58*$G$39,0)+U374*$G$53+U375*$G$56</f>
        <v>26.80226239210905</v>
      </c>
      <c r="V376" s="33">
        <f>IF(V$373=1,$G$58*$G$39,0)+V374*$G$53+V375*$G$56</f>
        <v>0.0</v>
      </c>
      <c r="W376" s="33">
        <f>IF(W$373=1,$G$58*$G$39,0)+W374*$G$53+W375*$G$56</f>
        <v>0.0</v>
      </c>
      <c r="X376" s="33">
        <f>IF(X$373=1,$G$58*$G$39,0)+X374*$G$53+X375*$G$56</f>
        <v>0.0</v>
      </c>
      <c r="Y376" s="33">
        <f>IF(Y$373=1,$G$58*$G$39,0)+Y374*$G$53+Y375*$G$56</f>
        <v>42.87640320000002</v>
      </c>
      <c r="Z376" s="33">
        <f>IF(Z$373=1,$G$58*$G$39,0)+Z374*$G$53+Z375*$G$56</f>
        <v>0.0</v>
      </c>
    </row>
    <row r="377">
      <c r="A377" s="3" t="inlineStr">
        <is>
          <t>CAC</t>
        </is>
      </c>
      <c r="B377" s="30">
        <f>SUM(C377:Z377)</f>
        <v>-4500.0</v>
      </c>
      <c r="C377" s="33">
        <f>IF(C$373=1,-$G$58*$G$21,0)</f>
        <v>-4500.0</v>
      </c>
      <c r="D377" s="33">
        <f>IF(D$373=1,-$G$58*$G$21,0)</f>
        <v>0.0</v>
      </c>
      <c r="E377" s="33">
        <f>IF(E$373=1,-$G$58*$G$21,0)</f>
        <v>0.0</v>
      </c>
      <c r="F377" s="33">
        <f>IF(F$373=1,-$G$58*$G$21,0)</f>
        <v>0.0</v>
      </c>
      <c r="G377" s="33">
        <f>IF(G$373=1,-$G$58*$G$21,0)</f>
        <v>0.0</v>
      </c>
      <c r="H377" s="33">
        <f>IF(H$373=1,-$G$58*$G$21,0)</f>
        <v>0.0</v>
      </c>
      <c r="I377" s="33">
        <f>IF(I$373=1,-$G$58*$G$21,0)</f>
        <v>0.0</v>
      </c>
      <c r="J377" s="33">
        <f>IF(J$373=1,-$G$58*$G$21,0)</f>
        <v>0.0</v>
      </c>
      <c r="K377" s="33">
        <f>IF(K$373=1,-$G$58*$G$21,0)</f>
        <v>0.0</v>
      </c>
      <c r="L377" s="33">
        <f>IF(L$373=1,-$G$58*$G$21,0)</f>
        <v>0.0</v>
      </c>
      <c r="M377" s="33">
        <f>IF(M$373=1,-$G$58*$G$21,0)</f>
        <v>0.0</v>
      </c>
      <c r="N377" s="33">
        <f>IF(N$373=1,-$G$58*$G$21,0)</f>
        <v>0.0</v>
      </c>
      <c r="O377" s="33">
        <f>IF(O$373=1,-$G$58*$G$21,0)</f>
        <v>0.0</v>
      </c>
      <c r="P377" s="33">
        <f>IF(P$373=1,-$G$58*$G$21,0)</f>
        <v>0.0</v>
      </c>
      <c r="Q377" s="33">
        <f>IF(Q$373=1,-$G$58*$G$21,0)</f>
        <v>0.0</v>
      </c>
      <c r="R377" s="33">
        <f>IF(R$373=1,-$G$58*$G$21,0)</f>
        <v>0.0</v>
      </c>
      <c r="S377" s="33">
        <f>IF(S$373=1,-$G$58*$G$21,0)</f>
        <v>0.0</v>
      </c>
      <c r="T377" s="33">
        <f>IF(T$373=1,-$G$58*$G$21,0)</f>
        <v>0.0</v>
      </c>
      <c r="U377" s="33">
        <f>IF(U$373=1,-$G$58*$G$21,0)</f>
        <v>0.0</v>
      </c>
      <c r="V377" s="33">
        <f>IF(V$373=1,-$G$58*$G$21,0)</f>
        <v>0.0</v>
      </c>
      <c r="W377" s="33">
        <f>IF(W$373=1,-$G$58*$G$21,0)</f>
        <v>0.0</v>
      </c>
      <c r="X377" s="33">
        <f>IF(X$373=1,-$G$58*$G$21,0)</f>
        <v>0.0</v>
      </c>
      <c r="Y377" s="33">
        <f>IF(Y$373=1,-$G$58*$G$21,0)</f>
        <v>0.0</v>
      </c>
      <c r="Z377" s="33">
        <f>IF(Z$373=1,-$G$58*$G$21,0)</f>
        <v>0.0</v>
      </c>
    </row>
    <row r="378">
      <c r="A378" s="16" t="inlineStr">
        <is>
          <t>Cumulative contribution after CAC</t>
        </is>
      </c>
      <c r="C378" s="30">
        <f>C376+C377</f>
        <v>-2555.3286949999992</v>
      </c>
      <c r="D378" s="30">
        <f>C378+D376+D377</f>
        <v>-2555.3286949999992</v>
      </c>
      <c r="E378" s="30">
        <f>D378+E376+E377</f>
        <v>-2555.3286949999992</v>
      </c>
      <c r="F378" s="30">
        <f>E378+F376+F377</f>
        <v>-2555.3286949999992</v>
      </c>
      <c r="G378" s="30">
        <f>F378+G376+G377</f>
        <v>-2555.3286949999992</v>
      </c>
      <c r="H378" s="30">
        <f>G378+H376+H377</f>
        <v>-2555.3286949999992</v>
      </c>
      <c r="I378" s="30">
        <f>H378+I376+I377</f>
        <v>-2380.3670812910777</v>
      </c>
      <c r="J378" s="30">
        <f>I378+J376+J377</f>
        <v>-2380.3670812910777</v>
      </c>
      <c r="K378" s="30">
        <f>J378+K376+K377</f>
        <v>-2380.3670812910777</v>
      </c>
      <c r="L378" s="30">
        <f>K378+L376+L377</f>
        <v>-2380.3670812910777</v>
      </c>
      <c r="M378" s="30">
        <f>L378+M376+M377</f>
        <v>-2380.3670812910777</v>
      </c>
      <c r="N378" s="30">
        <f>M378+N376+N377</f>
        <v>-2380.3670812910777</v>
      </c>
      <c r="O378" s="30">
        <f>N378+O376+O377</f>
        <v>-2341.6735726657375</v>
      </c>
      <c r="P378" s="30">
        <f>O378+P376+P377</f>
        <v>-2341.6735726657375</v>
      </c>
      <c r="Q378" s="30">
        <f>P378+Q376+Q377</f>
        <v>-2270.2129006657374</v>
      </c>
      <c r="R378" s="30">
        <f>Q378+R376+R377</f>
        <v>-2270.2129006657374</v>
      </c>
      <c r="S378" s="30">
        <f>R378+S376+S377</f>
        <v>-2270.2129006657374</v>
      </c>
      <c r="T378" s="30">
        <f>S378+T376+T377</f>
        <v>-2270.2129006657374</v>
      </c>
      <c r="U378" s="30">
        <f>T378+U376+U377</f>
        <v>-2243.410638273628</v>
      </c>
      <c r="V378" s="30">
        <f>U378+V376+V377</f>
        <v>-2243.410638273628</v>
      </c>
      <c r="W378" s="30">
        <f>V378+W376+W377</f>
        <v>-2243.410638273628</v>
      </c>
      <c r="X378" s="30">
        <f>W378+X376+X377</f>
        <v>-2243.410638273628</v>
      </c>
      <c r="Y378" s="30">
        <f>X378+Y376+Y377</f>
        <v>-2200.534235073628</v>
      </c>
      <c r="Z378" s="30">
        <f>Y378+Z376+Z377</f>
        <v>-2200.534235073628</v>
      </c>
    </row>
    <row r="379">
      <c r="A379" s="3" t="inlineStr">
        <is>
          <t>Cumulative contribution before CAC per customer</t>
        </is>
      </c>
      <c r="C379" s="26">
        <f>SUM($C376:C376)/$G$58</f>
        <v>19.446713050000007</v>
      </c>
      <c r="D379" s="26">
        <f>SUM($C376:D376)/$G$58</f>
        <v>19.446713050000007</v>
      </c>
      <c r="E379" s="26">
        <f>SUM($C376:E376)/$G$58</f>
        <v>19.446713050000007</v>
      </c>
      <c r="F379" s="26">
        <f>SUM($C376:F376)/$G$58</f>
        <v>19.446713050000007</v>
      </c>
      <c r="G379" s="26">
        <f>SUM($C376:G376)/$G$58</f>
        <v>19.446713050000007</v>
      </c>
      <c r="H379" s="26">
        <f>SUM($C376:H376)/$G$58</f>
        <v>19.446713050000007</v>
      </c>
      <c r="I379" s="26">
        <f>SUM($C376:I376)/$G$58</f>
        <v>21.196329187089223</v>
      </c>
      <c r="J379" s="26">
        <f>SUM($C376:J376)/$G$58</f>
        <v>21.196329187089223</v>
      </c>
      <c r="K379" s="26">
        <f>SUM($C376:K376)/$G$58</f>
        <v>21.196329187089223</v>
      </c>
      <c r="L379" s="26">
        <f>SUM($C376:L376)/$G$58</f>
        <v>21.196329187089223</v>
      </c>
      <c r="M379" s="26">
        <f>SUM($C376:M376)/$G$58</f>
        <v>21.196329187089223</v>
      </c>
      <c r="N379" s="26">
        <f>SUM($C376:N376)/$G$58</f>
        <v>21.196329187089223</v>
      </c>
      <c r="O379" s="26">
        <f>SUM($C376:O376)/$G$58</f>
        <v>21.58326427334262</v>
      </c>
      <c r="P379" s="26">
        <f>SUM($C376:P376)/$G$58</f>
        <v>21.58326427334262</v>
      </c>
      <c r="Q379" s="26">
        <f>SUM($C376:Q376)/$G$58</f>
        <v>22.29787099334262</v>
      </c>
      <c r="R379" s="26">
        <f>SUM($C376:R376)/$G$58</f>
        <v>22.29787099334262</v>
      </c>
      <c r="S379" s="26">
        <f>SUM($C376:S376)/$G$58</f>
        <v>22.29787099334262</v>
      </c>
      <c r="T379" s="26">
        <f>SUM($C376:T376)/$G$58</f>
        <v>22.29787099334262</v>
      </c>
      <c r="U379" s="26">
        <f>SUM($C376:U376)/$G$58</f>
        <v>22.565893617263715</v>
      </c>
      <c r="V379" s="26">
        <f>SUM($C376:V376)/$G$58</f>
        <v>22.565893617263715</v>
      </c>
      <c r="W379" s="26">
        <f>SUM($C376:W376)/$G$58</f>
        <v>22.565893617263715</v>
      </c>
      <c r="X379" s="26">
        <f>SUM($C376:X376)/$G$58</f>
        <v>22.565893617263715</v>
      </c>
      <c r="Y379" s="26">
        <f>SUM($C376:Y376)/$G$58</f>
        <v>22.994657649263715</v>
      </c>
      <c r="Z379" s="26">
        <f>SUM($C376:Z376)/$G$58</f>
        <v>22.994657649263715</v>
      </c>
    </row>
    <row r="380">
      <c r="A380" s="3" t="inlineStr">
        <is>
          <t>Payback helper (month if cumulative &gt;= 0, else 99)</t>
        </is>
      </c>
      <c r="C380" s="51">
        <f>IF(C378&gt;=0,C$373,99)</f>
        <v>99.0</v>
      </c>
      <c r="D380" s="51">
        <f>IF(D378&gt;=0,D$373,99)</f>
        <v>99.0</v>
      </c>
      <c r="E380" s="51">
        <f>IF(E378&gt;=0,E$373,99)</f>
        <v>99.0</v>
      </c>
      <c r="F380" s="51">
        <f>IF(F378&gt;=0,F$373,99)</f>
        <v>99.0</v>
      </c>
      <c r="G380" s="51">
        <f>IF(G378&gt;=0,G$373,99)</f>
        <v>99.0</v>
      </c>
      <c r="H380" s="51">
        <f>IF(H378&gt;=0,H$373,99)</f>
        <v>99.0</v>
      </c>
      <c r="I380" s="51">
        <f>IF(I378&gt;=0,I$373,99)</f>
        <v>99.0</v>
      </c>
      <c r="J380" s="51">
        <f>IF(J378&gt;=0,J$373,99)</f>
        <v>99.0</v>
      </c>
      <c r="K380" s="51">
        <f>IF(K378&gt;=0,K$373,99)</f>
        <v>99.0</v>
      </c>
      <c r="L380" s="51">
        <f>IF(L378&gt;=0,L$373,99)</f>
        <v>99.0</v>
      </c>
      <c r="M380" s="51">
        <f>IF(M378&gt;=0,M$373,99)</f>
        <v>99.0</v>
      </c>
      <c r="N380" s="51">
        <f>IF(N378&gt;=0,N$373,99)</f>
        <v>99.0</v>
      </c>
      <c r="O380" s="51">
        <f>IF(O378&gt;=0,O$373,99)</f>
        <v>99.0</v>
      </c>
      <c r="P380" s="51">
        <f>IF(P378&gt;=0,P$373,99)</f>
        <v>99.0</v>
      </c>
      <c r="Q380" s="51">
        <f>IF(Q378&gt;=0,Q$373,99)</f>
        <v>99.0</v>
      </c>
      <c r="R380" s="51">
        <f>IF(R378&gt;=0,R$373,99)</f>
        <v>99.0</v>
      </c>
      <c r="S380" s="51">
        <f>IF(S378&gt;=0,S$373,99)</f>
        <v>99.0</v>
      </c>
      <c r="T380" s="51">
        <f>IF(T378&gt;=0,T$373,99)</f>
        <v>99.0</v>
      </c>
      <c r="U380" s="51">
        <f>IF(U378&gt;=0,U$373,99)</f>
        <v>99.0</v>
      </c>
      <c r="V380" s="51">
        <f>IF(V378&gt;=0,V$373,99)</f>
        <v>99.0</v>
      </c>
      <c r="W380" s="51">
        <f>IF(W378&gt;=0,W$373,99)</f>
        <v>99.0</v>
      </c>
      <c r="X380" s="51">
        <f>IF(X378&gt;=0,X$373,99)</f>
        <v>99.0</v>
      </c>
      <c r="Y380" s="51">
        <f>IF(Y378&gt;=0,Y$373,99)</f>
        <v>99.0</v>
      </c>
      <c r="Z380" s="51">
        <f>IF(Z378&gt;=0,Z$373,99)</f>
        <v>99.0</v>
      </c>
    </row>
    <row r="382">
      <c r="A382" s="4" t="inlineStr">
        <is>
          <t>R6 = R2 + R3 + R4 (all cat levers combined)</t>
        </is>
      </c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>
      <c r="A383" s="16" t="inlineStr">
        <is>
          <t>Month</t>
        </is>
      </c>
      <c r="B383" s="16" t="inlineStr">
        <is>
          <t>Total</t>
        </is>
      </c>
      <c r="C383" s="21" t="n">
        <v>1</v>
      </c>
      <c r="D383" s="21" t="n">
        <v>2</v>
      </c>
      <c r="E383" s="21" t="n">
        <v>3</v>
      </c>
      <c r="F383" s="21" t="n">
        <v>4</v>
      </c>
      <c r="G383" s="21" t="n">
        <v>5</v>
      </c>
      <c r="H383" s="21" t="n">
        <v>6</v>
      </c>
      <c r="I383" s="21" t="n">
        <v>7</v>
      </c>
      <c r="J383" s="21" t="n">
        <v>8</v>
      </c>
      <c r="K383" s="21" t="n">
        <v>9</v>
      </c>
      <c r="L383" s="21" t="n">
        <v>10</v>
      </c>
      <c r="M383" s="21" t="n">
        <v>11</v>
      </c>
      <c r="N383" s="21" t="n">
        <v>12</v>
      </c>
      <c r="O383" s="21" t="n">
        <v>13</v>
      </c>
      <c r="P383" s="21" t="n">
        <v>14</v>
      </c>
      <c r="Q383" s="21" t="n">
        <v>15</v>
      </c>
      <c r="R383" s="21" t="n">
        <v>16</v>
      </c>
      <c r="S383" s="21" t="n">
        <v>17</v>
      </c>
      <c r="T383" s="21" t="n">
        <v>18</v>
      </c>
      <c r="U383" s="21" t="n">
        <v>19</v>
      </c>
      <c r="V383" s="21" t="n">
        <v>20</v>
      </c>
      <c r="W383" s="21" t="n">
        <v>21</v>
      </c>
      <c r="X383" s="21" t="n">
        <v>22</v>
      </c>
      <c r="Y383" s="21" t="n">
        <v>23</v>
      </c>
      <c r="Z383" s="21" t="n">
        <v>24</v>
      </c>
    </row>
    <row r="384">
      <c r="A384" s="3" t="inlineStr">
        <is>
          <t>Subscription renewal orders</t>
        </is>
      </c>
      <c r="B384" s="48">
        <f>SUM(C384:Z384)</f>
        <v>26.5560273110036</v>
      </c>
      <c r="C384" s="46">
        <f>IF(AND(C$383&gt;=$H$65,MOD(C$383-$H$65,$H$66)=0),$H$61*$H$67*$H$68^((C$383-$H$65)/$H$66),0)</f>
        <v>0.0</v>
      </c>
      <c r="D384" s="46">
        <f>IF(AND(D$383&gt;=$H$65,MOD(D$383-$H$65,$H$66)=0),$H$61*$H$67*$H$68^((D$383-$H$65)/$H$66),0)</f>
        <v>0.0</v>
      </c>
      <c r="E384" s="46">
        <f>IF(AND(E$383&gt;=$H$65,MOD(E$383-$H$65,$H$66)=0),$H$61*$H$67*$H$68^((E$383-$H$65)/$H$66),0)</f>
        <v>0.0</v>
      </c>
      <c r="F384" s="46">
        <f>IF(AND(F$383&gt;=$H$65,MOD(F$383-$H$65,$H$66)=0),$H$61*$H$67*$H$68^((F$383-$H$65)/$H$66),0)</f>
        <v>0.0</v>
      </c>
      <c r="G384" s="46">
        <f>IF(AND(G$383&gt;=$H$65,MOD(G$383-$H$65,$H$66)=0),$H$61*$H$67*$H$68^((G$383-$H$65)/$H$66),0)</f>
        <v>0.0</v>
      </c>
      <c r="H384" s="46">
        <f>IF(AND(H$383&gt;=$H$65,MOD(H$383-$H$65,$H$66)=0),$H$61*$H$67*$H$68^((H$383-$H$65)/$H$66),0)</f>
        <v>0.0</v>
      </c>
      <c r="I384" s="46">
        <f>IF(AND(I$383&gt;=$H$65,MOD(I$383-$H$65,$H$66)=0),$H$61*$H$67*$H$68^((I$383-$H$65)/$H$66),0)</f>
        <v>12.223784242907014</v>
      </c>
      <c r="J384" s="46">
        <f>IF(AND(J$383&gt;=$H$65,MOD(J$383-$H$65,$H$66)=0),$H$61*$H$67*$H$68^((J$383-$H$65)/$H$66),0)</f>
        <v>0.0</v>
      </c>
      <c r="K384" s="46">
        <f>IF(AND(K$383&gt;=$H$65,MOD(K$383-$H$65,$H$66)=0),$H$61*$H$67*$H$68^((K$383-$H$65)/$H$66),0)</f>
        <v>0.0</v>
      </c>
      <c r="L384" s="46">
        <f>IF(AND(L$383&gt;=$H$65,MOD(L$383-$H$65,$H$66)=0),$H$61*$H$67*$H$68^((L$383-$H$65)/$H$66),0)</f>
        <v>0.0</v>
      </c>
      <c r="M384" s="46">
        <f>IF(AND(M$383&gt;=$H$65,MOD(M$383-$H$65,$H$66)=0),$H$61*$H$67*$H$68^((M$383-$H$65)/$H$66),0)</f>
        <v>0.0</v>
      </c>
      <c r="N384" s="46">
        <f>IF(AND(N$383&gt;=$H$65,MOD(N$383-$H$65,$H$66)=0),$H$61*$H$67*$H$68^((N$383-$H$65)/$H$66),0)</f>
        <v>0.0</v>
      </c>
      <c r="O384" s="46">
        <f>IF(AND(O$383&gt;=$H$65,MOD(O$383-$H$65,$H$66)=0),$H$61*$H$67*$H$68^((O$383-$H$65)/$H$66),0)</f>
        <v>8.467184402304703</v>
      </c>
      <c r="P384" s="46">
        <f>IF(AND(P$383&gt;=$H$65,MOD(P$383-$H$65,$H$66)=0),$H$61*$H$67*$H$68^((P$383-$H$65)/$H$66),0)</f>
        <v>0.0</v>
      </c>
      <c r="Q384" s="46">
        <f>IF(AND(Q$383&gt;=$H$65,MOD(Q$383-$H$65,$H$66)=0),$H$61*$H$67*$H$68^((Q$383-$H$65)/$H$66),0)</f>
        <v>0.0</v>
      </c>
      <c r="R384" s="46">
        <f>IF(AND(R$383&gt;=$H$65,MOD(R$383-$H$65,$H$66)=0),$H$61*$H$67*$H$68^((R$383-$H$65)/$H$66),0)</f>
        <v>0.0</v>
      </c>
      <c r="S384" s="46">
        <f>IF(AND(S$383&gt;=$H$65,MOD(S$383-$H$65,$H$66)=0),$H$61*$H$67*$H$68^((S$383-$H$65)/$H$66),0)</f>
        <v>0.0</v>
      </c>
      <c r="T384" s="46">
        <f>IF(AND(T$383&gt;=$H$65,MOD(T$383-$H$65,$H$66)=0),$H$61*$H$67*$H$68^((T$383-$H$65)/$H$66),0)</f>
        <v>0.0</v>
      </c>
      <c r="U384" s="46">
        <f>IF(AND(U$383&gt;=$H$65,MOD(U$383-$H$65,$H$66)=0),$H$61*$H$67*$H$68^((U$383-$H$65)/$H$66),0)</f>
        <v>5.865058665791882</v>
      </c>
      <c r="V384" s="46">
        <f>IF(AND(V$383&gt;=$H$65,MOD(V$383-$H$65,$H$66)=0),$H$61*$H$67*$H$68^((V$383-$H$65)/$H$66),0)</f>
        <v>0.0</v>
      </c>
      <c r="W384" s="46">
        <f>IF(AND(W$383&gt;=$H$65,MOD(W$383-$H$65,$H$66)=0),$H$61*$H$67*$H$68^((W$383-$H$65)/$H$66),0)</f>
        <v>0.0</v>
      </c>
      <c r="X384" s="46">
        <f>IF(AND(X$383&gt;=$H$65,MOD(X$383-$H$65,$H$66)=0),$H$61*$H$67*$H$68^((X$383-$H$65)/$H$66),0)</f>
        <v>0.0</v>
      </c>
      <c r="Y384" s="46">
        <f>IF(AND(Y$383&gt;=$H$65,MOD(Y$383-$H$65,$H$66)=0),$H$61*$H$67*$H$68^((Y$383-$H$65)/$H$66),0)</f>
        <v>0.0</v>
      </c>
      <c r="Z384" s="46">
        <f>IF(AND(Z$383&gt;=$H$65,MOD(Z$383-$H$65,$H$66)=0),$H$61*$H$67*$H$68^((Z$383-$H$65)/$H$66),0)</f>
        <v>0.0</v>
      </c>
    </row>
    <row r="385">
      <c r="A385" s="3" t="inlineStr">
        <is>
          <t>Occasional repeat orders</t>
        </is>
      </c>
      <c r="B385" s="48">
        <f>SUM(C385:Z385)</f>
        <v>31.36</v>
      </c>
      <c r="C385" s="46">
        <f>IF(AND(C$383&gt;=$H$70,MOD(C$383-$H$70,$H$71)=0),$H$62*$H$72^((C$383-$H$70)/$H$71),0)</f>
        <v>0.0</v>
      </c>
      <c r="D385" s="46">
        <f>IF(AND(D$383&gt;=$H$70,MOD(D$383-$H$70,$H$71)=0),$H$62*$H$72^((D$383-$H$70)/$H$71),0)</f>
        <v>0.0</v>
      </c>
      <c r="E385" s="46">
        <f>IF(AND(E$383&gt;=$H$70,MOD(E$383-$H$70,$H$71)=0),$H$62*$H$72^((E$383-$H$70)/$H$71),0)</f>
        <v>0.0</v>
      </c>
      <c r="F385" s="46">
        <f>IF(AND(F$383&gt;=$H$70,MOD(F$383-$H$70,$H$71)=0),$H$62*$H$72^((F$383-$H$70)/$H$71),0)</f>
        <v>0.0</v>
      </c>
      <c r="G385" s="46">
        <f>IF(AND(G$383&gt;=$H$70,MOD(G$383-$H$70,$H$71)=0),$H$62*$H$72^((G$383-$H$70)/$H$71),0)</f>
        <v>0.0</v>
      </c>
      <c r="H385" s="46">
        <f>IF(AND(H$383&gt;=$H$70,MOD(H$383-$H$70,$H$71)=0),$H$62*$H$72^((H$383-$H$70)/$H$71),0)</f>
        <v>0.0</v>
      </c>
      <c r="I385" s="46">
        <f>IF(AND(I$383&gt;=$H$70,MOD(I$383-$H$70,$H$71)=0),$H$62*$H$72^((I$383-$H$70)/$H$71),0)</f>
        <v>16.0</v>
      </c>
      <c r="J385" s="46">
        <f>IF(AND(J$383&gt;=$H$70,MOD(J$383-$H$70,$H$71)=0),$H$62*$H$72^((J$383-$H$70)/$H$71),0)</f>
        <v>0.0</v>
      </c>
      <c r="K385" s="46">
        <f>IF(AND(K$383&gt;=$H$70,MOD(K$383-$H$70,$H$71)=0),$H$62*$H$72^((K$383-$H$70)/$H$71),0)</f>
        <v>0.0</v>
      </c>
      <c r="L385" s="46">
        <f>IF(AND(L$383&gt;=$H$70,MOD(L$383-$H$70,$H$71)=0),$H$62*$H$72^((L$383-$H$70)/$H$71),0)</f>
        <v>0.0</v>
      </c>
      <c r="M385" s="46">
        <f>IF(AND(M$383&gt;=$H$70,MOD(M$383-$H$70,$H$71)=0),$H$62*$H$72^((M$383-$H$70)/$H$71),0)</f>
        <v>0.0</v>
      </c>
      <c r="N385" s="46">
        <f>IF(AND(N$383&gt;=$H$70,MOD(N$383-$H$70,$H$71)=0),$H$62*$H$72^((N$383-$H$70)/$H$71),0)</f>
        <v>0.0</v>
      </c>
      <c r="O385" s="46">
        <f>IF(AND(O$383&gt;=$H$70,MOD(O$383-$H$70,$H$71)=0),$H$62*$H$72^((O$383-$H$70)/$H$71),0)</f>
        <v>0.0</v>
      </c>
      <c r="P385" s="46">
        <f>IF(AND(P$383&gt;=$H$70,MOD(P$383-$H$70,$H$71)=0),$H$62*$H$72^((P$383-$H$70)/$H$71),0)</f>
        <v>0.0</v>
      </c>
      <c r="Q385" s="46">
        <f>IF(AND(Q$383&gt;=$H$70,MOD(Q$383-$H$70,$H$71)=0),$H$62*$H$72^((Q$383-$H$70)/$H$71),0)</f>
        <v>9.6</v>
      </c>
      <c r="R385" s="46">
        <f>IF(AND(R$383&gt;=$H$70,MOD(R$383-$H$70,$H$71)=0),$H$62*$H$72^((R$383-$H$70)/$H$71),0)</f>
        <v>0.0</v>
      </c>
      <c r="S385" s="46">
        <f>IF(AND(S$383&gt;=$H$70,MOD(S$383-$H$70,$H$71)=0),$H$62*$H$72^((S$383-$H$70)/$H$71),0)</f>
        <v>0.0</v>
      </c>
      <c r="T385" s="46">
        <f>IF(AND(T$383&gt;=$H$70,MOD(T$383-$H$70,$H$71)=0),$H$62*$H$72^((T$383-$H$70)/$H$71),0)</f>
        <v>0.0</v>
      </c>
      <c r="U385" s="46">
        <f>IF(AND(U$383&gt;=$H$70,MOD(U$383-$H$70,$H$71)=0),$H$62*$H$72^((U$383-$H$70)/$H$71),0)</f>
        <v>0.0</v>
      </c>
      <c r="V385" s="46">
        <f>IF(AND(V$383&gt;=$H$70,MOD(V$383-$H$70,$H$71)=0),$H$62*$H$72^((V$383-$H$70)/$H$71),0)</f>
        <v>0.0</v>
      </c>
      <c r="W385" s="46">
        <f>IF(AND(W$383&gt;=$H$70,MOD(W$383-$H$70,$H$71)=0),$H$62*$H$72^((W$383-$H$70)/$H$71),0)</f>
        <v>0.0</v>
      </c>
      <c r="X385" s="46">
        <f>IF(AND(X$383&gt;=$H$70,MOD(X$383-$H$70,$H$71)=0),$H$62*$H$72^((X$383-$H$70)/$H$71),0)</f>
        <v>0.0</v>
      </c>
      <c r="Y385" s="46">
        <f>IF(AND(Y$383&gt;=$H$70,MOD(Y$383-$H$70,$H$71)=0),$H$62*$H$72^((Y$383-$H$70)/$H$71),0)</f>
        <v>5.76</v>
      </c>
      <c r="Z385" s="46">
        <f>IF(AND(Z$383&gt;=$H$70,MOD(Z$383-$H$70,$H$71)=0),$H$62*$H$72^((Z$383-$H$70)/$H$71),0)</f>
        <v>0.0</v>
      </c>
    </row>
    <row r="386">
      <c r="A386" s="3" t="inlineStr">
        <is>
          <t>Contribution before CAC</t>
        </is>
      </c>
      <c r="B386" s="30">
        <f>SUM(C386:Z386)</f>
        <v>1896.5657649263708</v>
      </c>
      <c r="C386" s="33">
        <f>IF(C$383=1,$H$58*$H$39,0)+C384*$H$53+C385*$H$56</f>
        <v>1541.7713050000002</v>
      </c>
      <c r="D386" s="33">
        <f>IF(D$383=1,$H$58*$H$39,0)+D384*$H$53+D385*$H$56</f>
        <v>0.0</v>
      </c>
      <c r="E386" s="33">
        <f>IF(E$383=1,$H$58*$H$39,0)+E384*$H$53+E385*$H$56</f>
        <v>0.0</v>
      </c>
      <c r="F386" s="33">
        <f>IF(F$383=1,$H$58*$H$39,0)+F384*$H$53+F385*$H$56</f>
        <v>0.0</v>
      </c>
      <c r="G386" s="33">
        <f>IF(G$383=1,$H$58*$H$39,0)+G384*$H$53+G385*$H$56</f>
        <v>0.0</v>
      </c>
      <c r="H386" s="33">
        <f>IF(H$383=1,$H$58*$H$39,0)+H384*$H$53+H385*$H$56</f>
        <v>0.0</v>
      </c>
      <c r="I386" s="33">
        <f>IF(I$383=1,$H$58*$H$39,0)+I384*$H$53+I385*$H$56</f>
        <v>174.9616137089214</v>
      </c>
      <c r="J386" s="33">
        <f>IF(J$383=1,$H$58*$H$39,0)+J384*$H$53+J385*$H$56</f>
        <v>0.0</v>
      </c>
      <c r="K386" s="33">
        <f>IF(K$383=1,$H$58*$H$39,0)+K384*$H$53+K385*$H$56</f>
        <v>0.0</v>
      </c>
      <c r="L386" s="33">
        <f>IF(L$383=1,$H$58*$H$39,0)+L384*$H$53+L385*$H$56</f>
        <v>0.0</v>
      </c>
      <c r="M386" s="33">
        <f>IF(M$383=1,$H$58*$H$39,0)+M384*$H$53+M385*$H$56</f>
        <v>0.0</v>
      </c>
      <c r="N386" s="33">
        <f>IF(N$383=1,$H$58*$H$39,0)+N384*$H$53+N385*$H$56</f>
        <v>0.0</v>
      </c>
      <c r="O386" s="33">
        <f>IF(O$383=1,$H$58*$H$39,0)+O384*$H$53+O385*$H$56</f>
        <v>38.693508625340066</v>
      </c>
      <c r="P386" s="33">
        <f>IF(P$383=1,$H$58*$H$39,0)+P384*$H$53+P385*$H$56</f>
        <v>0.0</v>
      </c>
      <c r="Q386" s="33">
        <f>IF(Q$383=1,$H$58*$H$39,0)+Q384*$H$53+Q385*$H$56</f>
        <v>71.46067200000003</v>
      </c>
      <c r="R386" s="33">
        <f>IF(R$383=1,$H$58*$H$39,0)+R384*$H$53+R385*$H$56</f>
        <v>0.0</v>
      </c>
      <c r="S386" s="33">
        <f>IF(S$383=1,$H$58*$H$39,0)+S384*$H$53+S385*$H$56</f>
        <v>0.0</v>
      </c>
      <c r="T386" s="33">
        <f>IF(T$383=1,$H$58*$H$39,0)+T384*$H$53+T385*$H$56</f>
        <v>0.0</v>
      </c>
      <c r="U386" s="33">
        <f>IF(U$383=1,$H$58*$H$39,0)+U384*$H$53+U385*$H$56</f>
        <v>26.80226239210905</v>
      </c>
      <c r="V386" s="33">
        <f>IF(V$383=1,$H$58*$H$39,0)+V384*$H$53+V385*$H$56</f>
        <v>0.0</v>
      </c>
      <c r="W386" s="33">
        <f>IF(W$383=1,$H$58*$H$39,0)+W384*$H$53+W385*$H$56</f>
        <v>0.0</v>
      </c>
      <c r="X386" s="33">
        <f>IF(X$383=1,$H$58*$H$39,0)+X384*$H$53+X385*$H$56</f>
        <v>0.0</v>
      </c>
      <c r="Y386" s="33">
        <f>IF(Y$383=1,$H$58*$H$39,0)+Y384*$H$53+Y385*$H$56</f>
        <v>42.87640320000002</v>
      </c>
      <c r="Z386" s="33">
        <f>IF(Z$383=1,$H$58*$H$39,0)+Z384*$H$53+Z385*$H$56</f>
        <v>0.0</v>
      </c>
    </row>
    <row r="387">
      <c r="A387" s="3" t="inlineStr">
        <is>
          <t>CAC</t>
        </is>
      </c>
      <c r="B387" s="30">
        <f>SUM(C387:Z387)</f>
        <v>-2925.0</v>
      </c>
      <c r="C387" s="33">
        <f>IF(C$383=1,-$H$58*$H$21,0)</f>
        <v>-2925.0</v>
      </c>
      <c r="D387" s="33">
        <f>IF(D$383=1,-$H$58*$H$21,0)</f>
        <v>0.0</v>
      </c>
      <c r="E387" s="33">
        <f>IF(E$383=1,-$H$58*$H$21,0)</f>
        <v>0.0</v>
      </c>
      <c r="F387" s="33">
        <f>IF(F$383=1,-$H$58*$H$21,0)</f>
        <v>0.0</v>
      </c>
      <c r="G387" s="33">
        <f>IF(G$383=1,-$H$58*$H$21,0)</f>
        <v>0.0</v>
      </c>
      <c r="H387" s="33">
        <f>IF(H$383=1,-$H$58*$H$21,0)</f>
        <v>0.0</v>
      </c>
      <c r="I387" s="33">
        <f>IF(I$383=1,-$H$58*$H$21,0)</f>
        <v>0.0</v>
      </c>
      <c r="J387" s="33">
        <f>IF(J$383=1,-$H$58*$H$21,0)</f>
        <v>0.0</v>
      </c>
      <c r="K387" s="33">
        <f>IF(K$383=1,-$H$58*$H$21,0)</f>
        <v>0.0</v>
      </c>
      <c r="L387" s="33">
        <f>IF(L$383=1,-$H$58*$H$21,0)</f>
        <v>0.0</v>
      </c>
      <c r="M387" s="33">
        <f>IF(M$383=1,-$H$58*$H$21,0)</f>
        <v>0.0</v>
      </c>
      <c r="N387" s="33">
        <f>IF(N$383=1,-$H$58*$H$21,0)</f>
        <v>0.0</v>
      </c>
      <c r="O387" s="33">
        <f>IF(O$383=1,-$H$58*$H$21,0)</f>
        <v>0.0</v>
      </c>
      <c r="P387" s="33">
        <f>IF(P$383=1,-$H$58*$H$21,0)</f>
        <v>0.0</v>
      </c>
      <c r="Q387" s="33">
        <f>IF(Q$383=1,-$H$58*$H$21,0)</f>
        <v>0.0</v>
      </c>
      <c r="R387" s="33">
        <f>IF(R$383=1,-$H$58*$H$21,0)</f>
        <v>0.0</v>
      </c>
      <c r="S387" s="33">
        <f>IF(S$383=1,-$H$58*$H$21,0)</f>
        <v>0.0</v>
      </c>
      <c r="T387" s="33">
        <f>IF(T$383=1,-$H$58*$H$21,0)</f>
        <v>0.0</v>
      </c>
      <c r="U387" s="33">
        <f>IF(U$383=1,-$H$58*$H$21,0)</f>
        <v>0.0</v>
      </c>
      <c r="V387" s="33">
        <f>IF(V$383=1,-$H$58*$H$21,0)</f>
        <v>0.0</v>
      </c>
      <c r="W387" s="33">
        <f>IF(W$383=1,-$H$58*$H$21,0)</f>
        <v>0.0</v>
      </c>
      <c r="X387" s="33">
        <f>IF(X$383=1,-$H$58*$H$21,0)</f>
        <v>0.0</v>
      </c>
      <c r="Y387" s="33">
        <f>IF(Y$383=1,-$H$58*$H$21,0)</f>
        <v>0.0</v>
      </c>
      <c r="Z387" s="33">
        <f>IF(Z$383=1,-$H$58*$H$21,0)</f>
        <v>0.0</v>
      </c>
    </row>
    <row r="388">
      <c r="A388" s="16" t="inlineStr">
        <is>
          <t>Cumulative contribution after CAC</t>
        </is>
      </c>
      <c r="C388" s="30">
        <f>C386+C387</f>
        <v>-1383.2286949999998</v>
      </c>
      <c r="D388" s="30">
        <f>C388+D386+D387</f>
        <v>-1383.2286949999998</v>
      </c>
      <c r="E388" s="30">
        <f>D388+E386+E387</f>
        <v>-1383.2286949999998</v>
      </c>
      <c r="F388" s="30">
        <f>E388+F386+F387</f>
        <v>-1383.2286949999998</v>
      </c>
      <c r="G388" s="30">
        <f>F388+G386+G387</f>
        <v>-1383.2286949999998</v>
      </c>
      <c r="H388" s="30">
        <f>G388+H386+H387</f>
        <v>-1383.2286949999998</v>
      </c>
      <c r="I388" s="30">
        <f>H388+I386+I387</f>
        <v>-1208.2670812910783</v>
      </c>
      <c r="J388" s="30">
        <f>I388+J386+J387</f>
        <v>-1208.2670812910783</v>
      </c>
      <c r="K388" s="30">
        <f>J388+K386+K387</f>
        <v>-1208.2670812910783</v>
      </c>
      <c r="L388" s="30">
        <f>K388+L386+L387</f>
        <v>-1208.2670812910783</v>
      </c>
      <c r="M388" s="30">
        <f>L388+M386+M387</f>
        <v>-1208.2670812910783</v>
      </c>
      <c r="N388" s="30">
        <f>M388+N386+N387</f>
        <v>-1208.2670812910783</v>
      </c>
      <c r="O388" s="30">
        <f>N388+O386+O387</f>
        <v>-1169.5735726657383</v>
      </c>
      <c r="P388" s="30">
        <f>O388+P386+P387</f>
        <v>-1169.5735726657383</v>
      </c>
      <c r="Q388" s="30">
        <f>P388+Q386+Q387</f>
        <v>-1098.1129006657384</v>
      </c>
      <c r="R388" s="30">
        <f>Q388+R386+R387</f>
        <v>-1098.1129006657384</v>
      </c>
      <c r="S388" s="30">
        <f>R388+S386+S387</f>
        <v>-1098.1129006657384</v>
      </c>
      <c r="T388" s="30">
        <f>S388+T386+T387</f>
        <v>-1098.1129006657384</v>
      </c>
      <c r="U388" s="30">
        <f>T388+U386+U387</f>
        <v>-1071.3106382736294</v>
      </c>
      <c r="V388" s="30">
        <f>U388+V386+V387</f>
        <v>-1071.3106382736294</v>
      </c>
      <c r="W388" s="30">
        <f>V388+W386+W387</f>
        <v>-1071.3106382736294</v>
      </c>
      <c r="X388" s="30">
        <f>W388+X386+X387</f>
        <v>-1071.3106382736294</v>
      </c>
      <c r="Y388" s="30">
        <f>X388+Y386+Y387</f>
        <v>-1028.4342350736295</v>
      </c>
      <c r="Z388" s="30">
        <f>Y388+Z386+Z387</f>
        <v>-1028.4342350736295</v>
      </c>
    </row>
    <row r="389">
      <c r="A389" s="3" t="inlineStr">
        <is>
          <t>Cumulative contribution before CAC per customer</t>
        </is>
      </c>
      <c r="C389" s="26">
        <f>SUM($C386:C386)/$H$58</f>
        <v>15.417713050000001</v>
      </c>
      <c r="D389" s="26">
        <f>SUM($C386:D386)/$H$58</f>
        <v>15.417713050000001</v>
      </c>
      <c r="E389" s="26">
        <f>SUM($C386:E386)/$H$58</f>
        <v>15.417713050000001</v>
      </c>
      <c r="F389" s="26">
        <f>SUM($C386:F386)/$H$58</f>
        <v>15.417713050000001</v>
      </c>
      <c r="G389" s="26">
        <f>SUM($C386:G386)/$H$58</f>
        <v>15.417713050000001</v>
      </c>
      <c r="H389" s="26">
        <f>SUM($C386:H386)/$H$58</f>
        <v>15.417713050000001</v>
      </c>
      <c r="I389" s="26">
        <f>SUM($C386:I386)/$H$58</f>
        <v>17.167329187089216</v>
      </c>
      <c r="J389" s="26">
        <f>SUM($C386:J386)/$H$58</f>
        <v>17.167329187089216</v>
      </c>
      <c r="K389" s="26">
        <f>SUM($C386:K386)/$H$58</f>
        <v>17.167329187089216</v>
      </c>
      <c r="L389" s="26">
        <f>SUM($C386:L386)/$H$58</f>
        <v>17.167329187089216</v>
      </c>
      <c r="M389" s="26">
        <f>SUM($C386:M386)/$H$58</f>
        <v>17.167329187089216</v>
      </c>
      <c r="N389" s="26">
        <f>SUM($C386:N386)/$H$58</f>
        <v>17.167329187089216</v>
      </c>
      <c r="O389" s="26">
        <f>SUM($C386:O386)/$H$58</f>
        <v>17.554264273342618</v>
      </c>
      <c r="P389" s="26">
        <f>SUM($C386:P386)/$H$58</f>
        <v>17.554264273342618</v>
      </c>
      <c r="Q389" s="26">
        <f>SUM($C386:Q386)/$H$58</f>
        <v>18.268870993342617</v>
      </c>
      <c r="R389" s="26">
        <f>SUM($C386:R386)/$H$58</f>
        <v>18.268870993342617</v>
      </c>
      <c r="S389" s="26">
        <f>SUM($C386:S386)/$H$58</f>
        <v>18.268870993342617</v>
      </c>
      <c r="T389" s="26">
        <f>SUM($C386:T386)/$H$58</f>
        <v>18.268870993342617</v>
      </c>
      <c r="U389" s="26">
        <f>SUM($C386:U386)/$H$58</f>
        <v>18.536893617263708</v>
      </c>
      <c r="V389" s="26">
        <f>SUM($C386:V386)/$H$58</f>
        <v>18.536893617263708</v>
      </c>
      <c r="W389" s="26">
        <f>SUM($C386:W386)/$H$58</f>
        <v>18.536893617263708</v>
      </c>
      <c r="X389" s="26">
        <f>SUM($C386:X386)/$H$58</f>
        <v>18.536893617263708</v>
      </c>
      <c r="Y389" s="26">
        <f>SUM($C386:Y386)/$H$58</f>
        <v>18.965657649263708</v>
      </c>
      <c r="Z389" s="26">
        <f>SUM($C386:Z386)/$H$58</f>
        <v>18.965657649263708</v>
      </c>
    </row>
    <row r="390">
      <c r="A390" s="3" t="inlineStr">
        <is>
          <t>Payback helper (month if cumulative &gt;= 0, else 99)</t>
        </is>
      </c>
      <c r="C390" s="51">
        <f>IF(C388&gt;=0,C$383,99)</f>
        <v>99.0</v>
      </c>
      <c r="D390" s="51">
        <f>IF(D388&gt;=0,D$383,99)</f>
        <v>99.0</v>
      </c>
      <c r="E390" s="51">
        <f>IF(E388&gt;=0,E$383,99)</f>
        <v>99.0</v>
      </c>
      <c r="F390" s="51">
        <f>IF(F388&gt;=0,F$383,99)</f>
        <v>99.0</v>
      </c>
      <c r="G390" s="51">
        <f>IF(G388&gt;=0,G$383,99)</f>
        <v>99.0</v>
      </c>
      <c r="H390" s="51">
        <f>IF(H388&gt;=0,H$383,99)</f>
        <v>99.0</v>
      </c>
      <c r="I390" s="51">
        <f>IF(I388&gt;=0,I$383,99)</f>
        <v>99.0</v>
      </c>
      <c r="J390" s="51">
        <f>IF(J388&gt;=0,J$383,99)</f>
        <v>99.0</v>
      </c>
      <c r="K390" s="51">
        <f>IF(K388&gt;=0,K$383,99)</f>
        <v>99.0</v>
      </c>
      <c r="L390" s="51">
        <f>IF(L388&gt;=0,L$383,99)</f>
        <v>99.0</v>
      </c>
      <c r="M390" s="51">
        <f>IF(M388&gt;=0,M$383,99)</f>
        <v>99.0</v>
      </c>
      <c r="N390" s="51">
        <f>IF(N388&gt;=0,N$383,99)</f>
        <v>99.0</v>
      </c>
      <c r="O390" s="51">
        <f>IF(O388&gt;=0,O$383,99)</f>
        <v>99.0</v>
      </c>
      <c r="P390" s="51">
        <f>IF(P388&gt;=0,P$383,99)</f>
        <v>99.0</v>
      </c>
      <c r="Q390" s="51">
        <f>IF(Q388&gt;=0,Q$383,99)</f>
        <v>99.0</v>
      </c>
      <c r="R390" s="51">
        <f>IF(R388&gt;=0,R$383,99)</f>
        <v>99.0</v>
      </c>
      <c r="S390" s="51">
        <f>IF(S388&gt;=0,S$383,99)</f>
        <v>99.0</v>
      </c>
      <c r="T390" s="51">
        <f>IF(T388&gt;=0,T$383,99)</f>
        <v>99.0</v>
      </c>
      <c r="U390" s="51">
        <f>IF(U388&gt;=0,U$383,99)</f>
        <v>99.0</v>
      </c>
      <c r="V390" s="51">
        <f>IF(V388&gt;=0,V$383,99)</f>
        <v>99.0</v>
      </c>
      <c r="W390" s="51">
        <f>IF(W388&gt;=0,W$383,99)</f>
        <v>99.0</v>
      </c>
      <c r="X390" s="51">
        <f>IF(X388&gt;=0,X$383,99)</f>
        <v>99.0</v>
      </c>
      <c r="Y390" s="51">
        <f>IF(Y388&gt;=0,Y$383,99)</f>
        <v>99.0</v>
      </c>
      <c r="Z390" s="51">
        <f>IF(Z388&gt;=0,Z$383,99)</f>
        <v>99.0</v>
      </c>
    </row>
    <row r="392">
      <c r="A392" s="4" t="inlineStr">
        <is>
          <t>E0 Espresso base (reference)</t>
        </is>
      </c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>
      <c r="A393" s="16" t="inlineStr">
        <is>
          <t>Month</t>
        </is>
      </c>
      <c r="B393" s="16" t="inlineStr">
        <is>
          <t>Total</t>
        </is>
      </c>
      <c r="C393" s="21" t="n">
        <v>1</v>
      </c>
      <c r="D393" s="21" t="n">
        <v>2</v>
      </c>
      <c r="E393" s="21" t="n">
        <v>3</v>
      </c>
      <c r="F393" s="21" t="n">
        <v>4</v>
      </c>
      <c r="G393" s="21" t="n">
        <v>5</v>
      </c>
      <c r="H393" s="21" t="n">
        <v>6</v>
      </c>
      <c r="I393" s="21" t="n">
        <v>7</v>
      </c>
      <c r="J393" s="21" t="n">
        <v>8</v>
      </c>
      <c r="K393" s="21" t="n">
        <v>9</v>
      </c>
      <c r="L393" s="21" t="n">
        <v>10</v>
      </c>
      <c r="M393" s="21" t="n">
        <v>11</v>
      </c>
      <c r="N393" s="21" t="n">
        <v>12</v>
      </c>
      <c r="O393" s="21" t="n">
        <v>13</v>
      </c>
      <c r="P393" s="21" t="n">
        <v>14</v>
      </c>
      <c r="Q393" s="21" t="n">
        <v>15</v>
      </c>
      <c r="R393" s="21" t="n">
        <v>16</v>
      </c>
      <c r="S393" s="21" t="n">
        <v>17</v>
      </c>
      <c r="T393" s="21" t="n">
        <v>18</v>
      </c>
      <c r="U393" s="21" t="n">
        <v>19</v>
      </c>
      <c r="V393" s="21" t="n">
        <v>20</v>
      </c>
      <c r="W393" s="21" t="n">
        <v>21</v>
      </c>
      <c r="X393" s="21" t="n">
        <v>22</v>
      </c>
      <c r="Y393" s="21" t="n">
        <v>23</v>
      </c>
      <c r="Z393" s="21" t="n">
        <v>24</v>
      </c>
    </row>
    <row r="394">
      <c r="A394" s="3" t="inlineStr">
        <is>
          <t>Subscription renewal orders</t>
        </is>
      </c>
      <c r="B394" s="48">
        <f>SUM(C394:Z394)</f>
        <v>134.0475784632772</v>
      </c>
      <c r="C394" s="46">
        <f>IF(AND(C$393&gt;=$I$65,MOD(C$393-$I$65,$I$66)=0),$I$61*$I$67*$I$68^((C$393-$I$65)/$I$66),0)</f>
        <v>0.0</v>
      </c>
      <c r="D394" s="46">
        <f>IF(AND(D$393&gt;=$I$65,MOD(D$393-$I$65,$I$66)=0),$I$61*$I$67*$I$68^((D$393-$I$65)/$I$66),0)</f>
        <v>12.2139</v>
      </c>
      <c r="E394" s="46">
        <f>IF(AND(E$393&gt;=$I$65,MOD(E$393-$I$65,$I$66)=0),$I$61*$I$67*$I$68^((E$393-$I$65)/$I$66),0)</f>
        <v>11.279414510999999</v>
      </c>
      <c r="F394" s="46">
        <f>IF(AND(F$393&gt;=$I$65,MOD(F$393-$I$65,$I$66)=0),$I$61*$I$67*$I$68^((F$393-$I$65)/$I$66),0)</f>
        <v>10.41642650676339</v>
      </c>
      <c r="G394" s="46">
        <f>IF(AND(G$393&gt;=$I$65,MOD(G$393-$I$65,$I$66)=0),$I$61*$I$67*$I$68^((G$393-$I$65)/$I$66),0)</f>
        <v>9.619465714730921</v>
      </c>
      <c r="H394" s="46">
        <f>IF(AND(H$393&gt;=$I$65,MOD(H$393-$I$65,$I$66)=0),$I$61*$I$67*$I$68^((H$393-$I$65)/$I$66),0)</f>
        <v>8.883480392896859</v>
      </c>
      <c r="I394" s="46">
        <f>IF(AND(I$393&gt;=$I$65,MOD(I$393-$I$65,$I$66)=0),$I$61*$I$67*$I$68^((I$393-$I$65)/$I$66),0)</f>
        <v>8.203805308036317</v>
      </c>
      <c r="J394" s="46">
        <f>IF(AND(J$393&gt;=$I$65,MOD(J$393-$I$65,$I$66)=0),$I$61*$I$67*$I$68^((J$393-$I$65)/$I$66),0)</f>
        <v>7.57613216391846</v>
      </c>
      <c r="K394" s="46">
        <f>IF(AND(K$393&gt;=$I$65,MOD(K$393-$I$65,$I$66)=0),$I$61*$I$67*$I$68^((K$393-$I$65)/$I$66),0)</f>
        <v>6.996482292057057</v>
      </c>
      <c r="L394" s="46">
        <f>IF(AND(L$393&gt;=$I$65,MOD(L$393-$I$65,$I$66)=0),$I$61*$I$67*$I$68^((L$393-$I$65)/$I$66),0)</f>
        <v>6.461181431891772</v>
      </c>
      <c r="M394" s="46">
        <f>IF(AND(M$393&gt;=$I$65,MOD(M$393-$I$65,$I$66)=0),$I$61*$I$67*$I$68^((M$393-$I$65)/$I$66),0)</f>
        <v>5.966836440537731</v>
      </c>
      <c r="N394" s="46">
        <f>IF(AND(N$393&gt;=$I$65,MOD(N$393-$I$65,$I$66)=0),$I$61*$I$67*$I$68^((N$393-$I$65)/$I$66),0)</f>
        <v>5.510313784472189</v>
      </c>
      <c r="O394" s="46">
        <f>IF(AND(O$393&gt;=$I$65,MOD(O$393-$I$65,$I$66)=0),$I$61*$I$67*$I$68^((O$393-$I$65)/$I$66),0)</f>
        <v>5.088719676822222</v>
      </c>
      <c r="P394" s="46">
        <f>IF(AND(P$393&gt;=$I$65,MOD(P$393-$I$65,$I$66)=0),$I$61*$I$67*$I$68^((P$393-$I$65)/$I$66),0)</f>
        <v>4.699381734348552</v>
      </c>
      <c r="Q394" s="46">
        <f>IF(AND(Q$393&gt;=$I$65,MOD(Q$393-$I$65,$I$66)=0),$I$61*$I$67*$I$68^((Q$393-$I$65)/$I$66),0)</f>
        <v>4.339832037853545</v>
      </c>
      <c r="R394" s="46">
        <f>IF(AND(R$393&gt;=$I$65,MOD(R$393-$I$65,$I$66)=0),$I$61*$I$67*$I$68^((R$393-$I$65)/$I$66),0)</f>
        <v>4.00779148863737</v>
      </c>
      <c r="S394" s="46">
        <f>IF(AND(S$393&gt;=$I$65,MOD(S$393-$I$65,$I$66)=0),$I$61*$I$67*$I$68^((S$393-$I$65)/$I$66),0)</f>
        <v>3.7011553618417246</v>
      </c>
      <c r="T394" s="46">
        <f>IF(AND(T$393&gt;=$I$65,MOD(T$393-$I$65,$I$66)=0),$I$61*$I$67*$I$68^((T$393-$I$65)/$I$66),0)</f>
        <v>3.417979965107213</v>
      </c>
      <c r="U394" s="46">
        <f>IF(AND(U$393&gt;=$I$65,MOD(U$393-$I$65,$I$66)=0),$I$61*$I$67*$I$68^((U$393-$I$65)/$I$66),0)</f>
        <v>3.1564703179768605</v>
      </c>
      <c r="V394" s="46">
        <f>IF(AND(V$393&gt;=$I$65,MOD(V$393-$I$65,$I$66)=0),$I$61*$I$67*$I$68^((V$393-$I$65)/$I$66),0)</f>
        <v>2.9149687739484507</v>
      </c>
      <c r="W394" s="46">
        <f>IF(AND(W$393&gt;=$I$65,MOD(W$393-$I$65,$I$66)=0),$I$61*$I$67*$I$68^((W$393-$I$65)/$I$66),0)</f>
        <v>2.691944513053654</v>
      </c>
      <c r="X394" s="46">
        <f>IF(AND(X$393&gt;=$I$65,MOD(X$393-$I$65,$I$66)=0),$I$61*$I$67*$I$68^((X$393-$I$65)/$I$66),0)</f>
        <v>2.485983838359919</v>
      </c>
      <c r="Y394" s="46">
        <f>IF(AND(Y$393&gt;=$I$65,MOD(Y$393-$I$65,$I$66)=0),$I$61*$I$67*$I$68^((Y$393-$I$65)/$I$66),0)</f>
        <v>2.2957812148870014</v>
      </c>
      <c r="Z394" s="46">
        <f>IF(AND(Z$393&gt;=$I$65,MOD(Z$393-$I$65,$I$66)=0),$I$61*$I$67*$I$68^((Z$393-$I$65)/$I$66),0)</f>
        <v>2.1201309941359967</v>
      </c>
    </row>
    <row r="395">
      <c r="A395" s="3" t="inlineStr">
        <is>
          <t>Occasional repeat orders</t>
        </is>
      </c>
      <c r="B395" s="48">
        <f>SUM(C395:Z395)</f>
        <v>25.400390625</v>
      </c>
      <c r="C395" s="46">
        <f>IF(AND(C$393&gt;=$I$70,MOD(C$393-$I$70,$I$71)=0),$I$62*$I$72^((C$393-$I$70)/$I$71),0)</f>
        <v>0.0</v>
      </c>
      <c r="D395" s="46">
        <f>IF(AND(D$393&gt;=$I$70,MOD(D$393-$I$70,$I$71)=0),$I$62*$I$72^((D$393-$I$70)/$I$71),0)</f>
        <v>12.75</v>
      </c>
      <c r="E395" s="46">
        <f>IF(AND(E$393&gt;=$I$70,MOD(E$393-$I$70,$I$71)=0),$I$62*$I$72^((E$393-$I$70)/$I$71),0)</f>
        <v>0.0</v>
      </c>
      <c r="F395" s="46">
        <f>IF(AND(F$393&gt;=$I$70,MOD(F$393-$I$70,$I$71)=0),$I$62*$I$72^((F$393-$I$70)/$I$71),0)</f>
        <v>0.0</v>
      </c>
      <c r="G395" s="46">
        <f>IF(AND(G$393&gt;=$I$70,MOD(G$393-$I$70,$I$71)=0),$I$62*$I$72^((G$393-$I$70)/$I$71),0)</f>
        <v>6.375</v>
      </c>
      <c r="H395" s="46">
        <f>IF(AND(H$393&gt;=$I$70,MOD(H$393-$I$70,$I$71)=0),$I$62*$I$72^((H$393-$I$70)/$I$71),0)</f>
        <v>0.0</v>
      </c>
      <c r="I395" s="46">
        <f>IF(AND(I$393&gt;=$I$70,MOD(I$393-$I$70,$I$71)=0),$I$62*$I$72^((I$393-$I$70)/$I$71),0)</f>
        <v>0.0</v>
      </c>
      <c r="J395" s="46">
        <f>IF(AND(J$393&gt;=$I$70,MOD(J$393-$I$70,$I$71)=0),$I$62*$I$72^((J$393-$I$70)/$I$71),0)</f>
        <v>3.1875</v>
      </c>
      <c r="K395" s="46">
        <f>IF(AND(K$393&gt;=$I$70,MOD(K$393-$I$70,$I$71)=0),$I$62*$I$72^((K$393-$I$70)/$I$71),0)</f>
        <v>0.0</v>
      </c>
      <c r="L395" s="46">
        <f>IF(AND(L$393&gt;=$I$70,MOD(L$393-$I$70,$I$71)=0),$I$62*$I$72^((L$393-$I$70)/$I$71),0)</f>
        <v>0.0</v>
      </c>
      <c r="M395" s="46">
        <f>IF(AND(M$393&gt;=$I$70,MOD(M$393-$I$70,$I$71)=0),$I$62*$I$72^((M$393-$I$70)/$I$71),0)</f>
        <v>1.59375</v>
      </c>
      <c r="N395" s="46">
        <f>IF(AND(N$393&gt;=$I$70,MOD(N$393-$I$70,$I$71)=0),$I$62*$I$72^((N$393-$I$70)/$I$71),0)</f>
        <v>0.0</v>
      </c>
      <c r="O395" s="46">
        <f>IF(AND(O$393&gt;=$I$70,MOD(O$393-$I$70,$I$71)=0),$I$62*$I$72^((O$393-$I$70)/$I$71),0)</f>
        <v>0.0</v>
      </c>
      <c r="P395" s="46">
        <f>IF(AND(P$393&gt;=$I$70,MOD(P$393-$I$70,$I$71)=0),$I$62*$I$72^((P$393-$I$70)/$I$71),0)</f>
        <v>0.796875</v>
      </c>
      <c r="Q395" s="46">
        <f>IF(AND(Q$393&gt;=$I$70,MOD(Q$393-$I$70,$I$71)=0),$I$62*$I$72^((Q$393-$I$70)/$I$71),0)</f>
        <v>0.0</v>
      </c>
      <c r="R395" s="46">
        <f>IF(AND(R$393&gt;=$I$70,MOD(R$393-$I$70,$I$71)=0),$I$62*$I$72^((R$393-$I$70)/$I$71),0)</f>
        <v>0.0</v>
      </c>
      <c r="S395" s="46">
        <f>IF(AND(S$393&gt;=$I$70,MOD(S$393-$I$70,$I$71)=0),$I$62*$I$72^((S$393-$I$70)/$I$71),0)</f>
        <v>0.3984375</v>
      </c>
      <c r="T395" s="46">
        <f>IF(AND(T$393&gt;=$I$70,MOD(T$393-$I$70,$I$71)=0),$I$62*$I$72^((T$393-$I$70)/$I$71),0)</f>
        <v>0.0</v>
      </c>
      <c r="U395" s="46">
        <f>IF(AND(U$393&gt;=$I$70,MOD(U$393-$I$70,$I$71)=0),$I$62*$I$72^((U$393-$I$70)/$I$71),0)</f>
        <v>0.0</v>
      </c>
      <c r="V395" s="46">
        <f>IF(AND(V$393&gt;=$I$70,MOD(V$393-$I$70,$I$71)=0),$I$62*$I$72^((V$393-$I$70)/$I$71),0)</f>
        <v>0.19921875</v>
      </c>
      <c r="W395" s="46">
        <f>IF(AND(W$393&gt;=$I$70,MOD(W$393-$I$70,$I$71)=0),$I$62*$I$72^((W$393-$I$70)/$I$71),0)</f>
        <v>0.0</v>
      </c>
      <c r="X395" s="46">
        <f>IF(AND(X$393&gt;=$I$70,MOD(X$393-$I$70,$I$71)=0),$I$62*$I$72^((X$393-$I$70)/$I$71),0)</f>
        <v>0.0</v>
      </c>
      <c r="Y395" s="46">
        <f>IF(AND(Y$393&gt;=$I$70,MOD(Y$393-$I$70,$I$71)=0),$I$62*$I$72^((Y$393-$I$70)/$I$71),0)</f>
        <v>0.099609375</v>
      </c>
      <c r="Z395" s="46">
        <f>IF(AND(Z$393&gt;=$I$70,MOD(Z$393-$I$70,$I$71)=0),$I$62*$I$72^((Z$393-$I$70)/$I$71),0)</f>
        <v>0.0</v>
      </c>
    </row>
    <row r="396">
      <c r="A396" s="3" t="inlineStr">
        <is>
          <t>Contribution before CAC</t>
        </is>
      </c>
      <c r="B396" s="30">
        <f>SUM(C396:Z396)</f>
        <v>2907.202661116104</v>
      </c>
      <c r="C396" s="33">
        <f>IF(C$393=1,$I$58*$I$39,0)+C394*$I$53+C395*$I$56</f>
        <v>2110.81253</v>
      </c>
      <c r="D396" s="33">
        <f>IF(D$393=1,$I$58*$I$39,0)+D394*$I$53+D395*$I$56</f>
        <v>158.29695945420002</v>
      </c>
      <c r="E396" s="33">
        <f>IF(E$393=1,$I$58*$I$39,0)+E394*$I$53+E395*$I$56</f>
        <v>49.45321683490915</v>
      </c>
      <c r="F396" s="33">
        <f>IF(F$393=1,$I$58*$I$39,0)+F394*$I$53+F395*$I$56</f>
        <v>45.66955121487025</v>
      </c>
      <c r="G396" s="33">
        <f>IF(G$393=1,$I$58*$I$39,0)+G394*$I$53+G395*$I$56</f>
        <v>94.54867635142053</v>
      </c>
      <c r="H396" s="33">
        <f>IF(H$393=1,$I$58*$I$39,0)+H394*$I$53+H395*$I$56</f>
        <v>38.94853599804834</v>
      </c>
      <c r="I396" s="33">
        <f>IF(I$393=1,$I$58*$I$39,0)+I394*$I$53+I395*$I$56</f>
        <v>35.96858350883765</v>
      </c>
      <c r="J396" s="33">
        <f>IF(J$393=1,$I$58*$I$39,0)+J394*$I$53+J395*$I$56</f>
        <v>59.40327843457649</v>
      </c>
      <c r="K396" s="33">
        <f>IF(K$393=1,$I$58*$I$39,0)+K394*$I$53+K395*$I$56</f>
        <v>30.675223038684535</v>
      </c>
      <c r="L396" s="33">
        <f>IF(L$393=1,$I$58*$I$39,0)+L394*$I$53+L395*$I$56</f>
        <v>28.328261723994782</v>
      </c>
      <c r="M396" s="33">
        <f>IF(M$393=1,$I$58*$I$39,0)+M394*$I$53+M395*$I$56</f>
        <v>39.25419204449194</v>
      </c>
      <c r="N396" s="33">
        <f>IF(N$393=1,$I$58*$I$39,0)+N394*$I$53+N395*$I$56</f>
        <v>24.159298529736603</v>
      </c>
      <c r="O396" s="33">
        <f>IF(O$393=1,$I$58*$I$39,0)+O394*$I$53+O395*$I$56</f>
        <v>22.310870599226458</v>
      </c>
      <c r="P396" s="33">
        <f>IF(P$393=1,$I$58*$I$39,0)+P394*$I$53+P395*$I$56</f>
        <v>27.150528702179635</v>
      </c>
      <c r="Q396" s="33">
        <f>IF(Q$393=1,$I$58*$I$39,0)+Q394*$I$53+Q395*$I$56</f>
        <v>19.027464110460247</v>
      </c>
      <c r="R396" s="33">
        <f>IF(R$393=1,$I$58*$I$39,0)+R394*$I$53+R395*$I$56</f>
        <v>17.571672831368932</v>
      </c>
      <c r="S396" s="33">
        <f>IF(S$393=1,$I$58*$I$39,0)+S394*$I$53+S395*$I$56</f>
        <v>19.500595549290896</v>
      </c>
      <c r="T396" s="33">
        <f>IF(T$393=1,$I$58*$I$39,0)+T394*$I$53+T395*$I$56</f>
        <v>14.985716163456832</v>
      </c>
      <c r="U396" s="33">
        <f>IF(U$393=1,$I$58*$I$39,0)+U394*$I$53+U395*$I$56</f>
        <v>13.83915901979075</v>
      </c>
      <c r="V396" s="33">
        <f>IF(V$393=1,$I$58*$I$39,0)+V394*$I$53+V395*$I$56</f>
        <v>14.41699066631156</v>
      </c>
      <c r="W396" s="33">
        <f>IF(W$393=1,$I$58*$I$39,0)+W394*$I$53+W395*$I$56</f>
        <v>11.802502300253154</v>
      </c>
      <c r="X396" s="33">
        <f>IF(X$393=1,$I$58*$I$39,0)+X394*$I$53+X395*$I$56</f>
        <v>10.899492849260785</v>
      </c>
      <c r="Y396" s="33">
        <f>IF(Y$393=1,$I$58*$I$39,0)+Y394*$I$53+Y395*$I$56</f>
        <v>10.883905502926341</v>
      </c>
      <c r="Z396" s="33">
        <f>IF(Z$393=1,$I$58*$I$39,0)+Z394*$I$53+Z395*$I$56</f>
        <v>9.295455687807992</v>
      </c>
    </row>
    <row r="397">
      <c r="A397" s="3" t="inlineStr">
        <is>
          <t>CAC</t>
        </is>
      </c>
      <c r="B397" s="30">
        <f>SUM(C397:Z397)</f>
        <v>-4500.0</v>
      </c>
      <c r="C397" s="33">
        <f>IF(C$393=1,-$I$58*$I$21,0)</f>
        <v>-4500.0</v>
      </c>
      <c r="D397" s="33">
        <f>IF(D$393=1,-$I$58*$I$21,0)</f>
        <v>0.0</v>
      </c>
      <c r="E397" s="33">
        <f>IF(E$393=1,-$I$58*$I$21,0)</f>
        <v>0.0</v>
      </c>
      <c r="F397" s="33">
        <f>IF(F$393=1,-$I$58*$I$21,0)</f>
        <v>0.0</v>
      </c>
      <c r="G397" s="33">
        <f>IF(G$393=1,-$I$58*$I$21,0)</f>
        <v>0.0</v>
      </c>
      <c r="H397" s="33">
        <f>IF(H$393=1,-$I$58*$I$21,0)</f>
        <v>0.0</v>
      </c>
      <c r="I397" s="33">
        <f>IF(I$393=1,-$I$58*$I$21,0)</f>
        <v>0.0</v>
      </c>
      <c r="J397" s="33">
        <f>IF(J$393=1,-$I$58*$I$21,0)</f>
        <v>0.0</v>
      </c>
      <c r="K397" s="33">
        <f>IF(K$393=1,-$I$58*$I$21,0)</f>
        <v>0.0</v>
      </c>
      <c r="L397" s="33">
        <f>IF(L$393=1,-$I$58*$I$21,0)</f>
        <v>0.0</v>
      </c>
      <c r="M397" s="33">
        <f>IF(M$393=1,-$I$58*$I$21,0)</f>
        <v>0.0</v>
      </c>
      <c r="N397" s="33">
        <f>IF(N$393=1,-$I$58*$I$21,0)</f>
        <v>0.0</v>
      </c>
      <c r="O397" s="33">
        <f>IF(O$393=1,-$I$58*$I$21,0)</f>
        <v>0.0</v>
      </c>
      <c r="P397" s="33">
        <f>IF(P$393=1,-$I$58*$I$21,0)</f>
        <v>0.0</v>
      </c>
      <c r="Q397" s="33">
        <f>IF(Q$393=1,-$I$58*$I$21,0)</f>
        <v>0.0</v>
      </c>
      <c r="R397" s="33">
        <f>IF(R$393=1,-$I$58*$I$21,0)</f>
        <v>0.0</v>
      </c>
      <c r="S397" s="33">
        <f>IF(S$393=1,-$I$58*$I$21,0)</f>
        <v>0.0</v>
      </c>
      <c r="T397" s="33">
        <f>IF(T$393=1,-$I$58*$I$21,0)</f>
        <v>0.0</v>
      </c>
      <c r="U397" s="33">
        <f>IF(U$393=1,-$I$58*$I$21,0)</f>
        <v>0.0</v>
      </c>
      <c r="V397" s="33">
        <f>IF(V$393=1,-$I$58*$I$21,0)</f>
        <v>0.0</v>
      </c>
      <c r="W397" s="33">
        <f>IF(W$393=1,-$I$58*$I$21,0)</f>
        <v>0.0</v>
      </c>
      <c r="X397" s="33">
        <f>IF(X$393=1,-$I$58*$I$21,0)</f>
        <v>0.0</v>
      </c>
      <c r="Y397" s="33">
        <f>IF(Y$393=1,-$I$58*$I$21,0)</f>
        <v>0.0</v>
      </c>
      <c r="Z397" s="33">
        <f>IF(Z$393=1,-$I$58*$I$21,0)</f>
        <v>0.0</v>
      </c>
    </row>
    <row r="398">
      <c r="A398" s="16" t="inlineStr">
        <is>
          <t>Cumulative contribution after CAC</t>
        </is>
      </c>
      <c r="C398" s="30">
        <f>C396+C397</f>
        <v>-2389.18747</v>
      </c>
      <c r="D398" s="30">
        <f>C398+D396+D397</f>
        <v>-2230.8905105457998</v>
      </c>
      <c r="E398" s="30">
        <f>D398+E396+E397</f>
        <v>-2181.4372937108906</v>
      </c>
      <c r="F398" s="30">
        <f>E398+F396+F397</f>
        <v>-2135.76774249602</v>
      </c>
      <c r="G398" s="30">
        <f>F398+G396+G397</f>
        <v>-2041.2190661445998</v>
      </c>
      <c r="H398" s="30">
        <f>G398+H396+H397</f>
        <v>-2002.2705301465514</v>
      </c>
      <c r="I398" s="30">
        <f>H398+I396+I397</f>
        <v>-1966.3019466377139</v>
      </c>
      <c r="J398" s="30">
        <f>I398+J396+J397</f>
        <v>-1906.8986682031373</v>
      </c>
      <c r="K398" s="30">
        <f>J398+K396+K397</f>
        <v>-1876.2234451644526</v>
      </c>
      <c r="L398" s="30">
        <f>K398+L396+L397</f>
        <v>-1847.895183440458</v>
      </c>
      <c r="M398" s="30">
        <f>L398+M396+M397</f>
        <v>-1808.640991395966</v>
      </c>
      <c r="N398" s="30">
        <f>M398+N396+N397</f>
        <v>-1784.4816928662294</v>
      </c>
      <c r="O398" s="30">
        <f>N398+O396+O397</f>
        <v>-1762.170822267003</v>
      </c>
      <c r="P398" s="30">
        <f>O398+P396+P397</f>
        <v>-1735.0202935648233</v>
      </c>
      <c r="Q398" s="30">
        <f>P398+Q396+Q397</f>
        <v>-1715.9928294543631</v>
      </c>
      <c r="R398" s="30">
        <f>Q398+R396+R397</f>
        <v>-1698.4211566229942</v>
      </c>
      <c r="S398" s="30">
        <f>R398+S396+S397</f>
        <v>-1678.9205610737033</v>
      </c>
      <c r="T398" s="30">
        <f>S398+T396+T397</f>
        <v>-1663.9348449102465</v>
      </c>
      <c r="U398" s="30">
        <f>T398+U396+U397</f>
        <v>-1650.0956858904558</v>
      </c>
      <c r="V398" s="30">
        <f>U398+V396+V397</f>
        <v>-1635.6786952241443</v>
      </c>
      <c r="W398" s="30">
        <f>V398+W396+W397</f>
        <v>-1623.8761929238913</v>
      </c>
      <c r="X398" s="30">
        <f>W398+X396+X397</f>
        <v>-1612.9767000746306</v>
      </c>
      <c r="Y398" s="30">
        <f>X398+Y396+Y397</f>
        <v>-1602.0927945717042</v>
      </c>
      <c r="Z398" s="30">
        <f>Y398+Z396+Z397</f>
        <v>-1592.7973388838961</v>
      </c>
    </row>
    <row r="399">
      <c r="A399" s="3" t="inlineStr">
        <is>
          <t>Cumulative contribution before CAC per customer</t>
        </is>
      </c>
      <c r="C399" s="26">
        <f>SUM($C396:C396)/$I$58</f>
        <v>21.1081253</v>
      </c>
      <c r="D399" s="26">
        <f>SUM($C396:D396)/$I$58</f>
        <v>22.691094894542</v>
      </c>
      <c r="E399" s="26">
        <f>SUM($C396:E396)/$I$58</f>
        <v>23.185627062891093</v>
      </c>
      <c r="F399" s="26">
        <f>SUM($C396:F396)/$I$58</f>
        <v>23.6423225750398</v>
      </c>
      <c r="G399" s="26">
        <f>SUM($C396:G396)/$I$58</f>
        <v>24.587809338554003</v>
      </c>
      <c r="H399" s="26">
        <f>SUM($C396:H396)/$I$58</f>
        <v>24.977294698534482</v>
      </c>
      <c r="I399" s="26">
        <f>SUM($C396:I396)/$I$58</f>
        <v>25.33698053362286</v>
      </c>
      <c r="J399" s="26">
        <f>SUM($C396:J396)/$I$58</f>
        <v>25.931013317968628</v>
      </c>
      <c r="K399" s="26">
        <f>SUM($C396:K396)/$I$58</f>
        <v>26.23776554835547</v>
      </c>
      <c r="L399" s="26">
        <f>SUM($C396:L396)/$I$58</f>
        <v>26.52104816559542</v>
      </c>
      <c r="M399" s="26">
        <f>SUM($C396:M396)/$I$58</f>
        <v>26.91359008604034</v>
      </c>
      <c r="N399" s="26">
        <f>SUM($C396:N396)/$I$58</f>
        <v>27.155183071337706</v>
      </c>
      <c r="O399" s="26">
        <f>SUM($C396:O396)/$I$58</f>
        <v>27.37829177732997</v>
      </c>
      <c r="P399" s="26">
        <f>SUM($C396:P396)/$I$58</f>
        <v>27.649797064351766</v>
      </c>
      <c r="Q399" s="26">
        <f>SUM($C396:Q396)/$I$58</f>
        <v>27.840071705456367</v>
      </c>
      <c r="R399" s="26">
        <f>SUM($C396:R396)/$I$58</f>
        <v>28.01578843377006</v>
      </c>
      <c r="S399" s="26">
        <f>SUM($C396:S396)/$I$58</f>
        <v>28.210794389262965</v>
      </c>
      <c r="T399" s="26">
        <f>SUM($C396:T396)/$I$58</f>
        <v>28.360651550897533</v>
      </c>
      <c r="U399" s="26">
        <f>SUM($C396:U396)/$I$58</f>
        <v>28.49904314109544</v>
      </c>
      <c r="V399" s="26">
        <f>SUM($C396:V396)/$I$58</f>
        <v>28.643213047758557</v>
      </c>
      <c r="W399" s="26">
        <f>SUM($C396:W396)/$I$58</f>
        <v>28.761238070761088</v>
      </c>
      <c r="X399" s="26">
        <f>SUM($C396:X396)/$I$58</f>
        <v>28.870232999253698</v>
      </c>
      <c r="Y399" s="26">
        <f>SUM($C396:Y396)/$I$58</f>
        <v>28.97907205428296</v>
      </c>
      <c r="Z399" s="26">
        <f>SUM($C396:Z396)/$I$58</f>
        <v>29.07202661116104</v>
      </c>
    </row>
    <row r="400">
      <c r="A400" s="3" t="inlineStr">
        <is>
          <t>Payback helper (month if cumulative &gt;= 0, else 99)</t>
        </is>
      </c>
      <c r="C400" s="51">
        <f>IF(C398&gt;=0,C$393,99)</f>
        <v>99.0</v>
      </c>
      <c r="D400" s="51">
        <f>IF(D398&gt;=0,D$393,99)</f>
        <v>99.0</v>
      </c>
      <c r="E400" s="51">
        <f>IF(E398&gt;=0,E$393,99)</f>
        <v>99.0</v>
      </c>
      <c r="F400" s="51">
        <f>IF(F398&gt;=0,F$393,99)</f>
        <v>99.0</v>
      </c>
      <c r="G400" s="51">
        <f>IF(G398&gt;=0,G$393,99)</f>
        <v>99.0</v>
      </c>
      <c r="H400" s="51">
        <f>IF(H398&gt;=0,H$393,99)</f>
        <v>99.0</v>
      </c>
      <c r="I400" s="51">
        <f>IF(I398&gt;=0,I$393,99)</f>
        <v>99.0</v>
      </c>
      <c r="J400" s="51">
        <f>IF(J398&gt;=0,J$393,99)</f>
        <v>99.0</v>
      </c>
      <c r="K400" s="51">
        <f>IF(K398&gt;=0,K$393,99)</f>
        <v>99.0</v>
      </c>
      <c r="L400" s="51">
        <f>IF(L398&gt;=0,L$393,99)</f>
        <v>99.0</v>
      </c>
      <c r="M400" s="51">
        <f>IF(M398&gt;=0,M$393,99)</f>
        <v>99.0</v>
      </c>
      <c r="N400" s="51">
        <f>IF(N398&gt;=0,N$393,99)</f>
        <v>99.0</v>
      </c>
      <c r="O400" s="51">
        <f>IF(O398&gt;=0,O$393,99)</f>
        <v>99.0</v>
      </c>
      <c r="P400" s="51">
        <f>IF(P398&gt;=0,P$393,99)</f>
        <v>99.0</v>
      </c>
      <c r="Q400" s="51">
        <f>IF(Q398&gt;=0,Q$393,99)</f>
        <v>99.0</v>
      </c>
      <c r="R400" s="51">
        <f>IF(R398&gt;=0,R$393,99)</f>
        <v>99.0</v>
      </c>
      <c r="S400" s="51">
        <f>IF(S398&gt;=0,S$393,99)</f>
        <v>99.0</v>
      </c>
      <c r="T400" s="51">
        <f>IF(T398&gt;=0,T$393,99)</f>
        <v>99.0</v>
      </c>
      <c r="U400" s="51">
        <f>IF(U398&gt;=0,U$393,99)</f>
        <v>99.0</v>
      </c>
      <c r="V400" s="51">
        <f>IF(V398&gt;=0,V$393,99)</f>
        <v>99.0</v>
      </c>
      <c r="W400" s="51">
        <f>IF(W398&gt;=0,W$393,99)</f>
        <v>99.0</v>
      </c>
      <c r="X400" s="51">
        <f>IF(X398&gt;=0,X$393,99)</f>
        <v>99.0</v>
      </c>
      <c r="Y400" s="51">
        <f>IF(Y398&gt;=0,Y$393,99)</f>
        <v>99.0</v>
      </c>
      <c r="Z400" s="51">
        <f>IF(Z398&gt;=0,Z$393,99)</f>
        <v>99.0</v>
      </c>
    </row>
    <row r="402">
      <c r="A402" s="4" t="inlineStr">
        <is>
          <t>R5 Espresso Dedica kit at $99</t>
        </is>
      </c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>
      <c r="A403" s="16" t="inlineStr">
        <is>
          <t>Month</t>
        </is>
      </c>
      <c r="B403" s="16" t="inlineStr">
        <is>
          <t>Total</t>
        </is>
      </c>
      <c r="C403" s="21" t="n">
        <v>1</v>
      </c>
      <c r="D403" s="21" t="n">
        <v>2</v>
      </c>
      <c r="E403" s="21" t="n">
        <v>3</v>
      </c>
      <c r="F403" s="21" t="n">
        <v>4</v>
      </c>
      <c r="G403" s="21" t="n">
        <v>5</v>
      </c>
      <c r="H403" s="21" t="n">
        <v>6</v>
      </c>
      <c r="I403" s="21" t="n">
        <v>7</v>
      </c>
      <c r="J403" s="21" t="n">
        <v>8</v>
      </c>
      <c r="K403" s="21" t="n">
        <v>9</v>
      </c>
      <c r="L403" s="21" t="n">
        <v>10</v>
      </c>
      <c r="M403" s="21" t="n">
        <v>11</v>
      </c>
      <c r="N403" s="21" t="n">
        <v>12</v>
      </c>
      <c r="O403" s="21" t="n">
        <v>13</v>
      </c>
      <c r="P403" s="21" t="n">
        <v>14</v>
      </c>
      <c r="Q403" s="21" t="n">
        <v>15</v>
      </c>
      <c r="R403" s="21" t="n">
        <v>16</v>
      </c>
      <c r="S403" s="21" t="n">
        <v>17</v>
      </c>
      <c r="T403" s="21" t="n">
        <v>18</v>
      </c>
      <c r="U403" s="21" t="n">
        <v>19</v>
      </c>
      <c r="V403" s="21" t="n">
        <v>20</v>
      </c>
      <c r="W403" s="21" t="n">
        <v>21</v>
      </c>
      <c r="X403" s="21" t="n">
        <v>22</v>
      </c>
      <c r="Y403" s="21" t="n">
        <v>23</v>
      </c>
      <c r="Z403" s="21" t="n">
        <v>24</v>
      </c>
    </row>
    <row r="404">
      <c r="A404" s="3" t="inlineStr">
        <is>
          <t>Subscription renewal orders</t>
        </is>
      </c>
      <c r="B404" s="48">
        <f>SUM(C404:Z404)</f>
        <v>134.0475784632772</v>
      </c>
      <c r="C404" s="46">
        <f>IF(AND(C$403&gt;=$J$65,MOD(C$403-$J$65,$J$66)=0),$J$61*$J$67*$J$68^((C$403-$J$65)/$J$66),0)</f>
        <v>0.0</v>
      </c>
      <c r="D404" s="46">
        <f>IF(AND(D$403&gt;=$J$65,MOD(D$403-$J$65,$J$66)=0),$J$61*$J$67*$J$68^((D$403-$J$65)/$J$66),0)</f>
        <v>12.2139</v>
      </c>
      <c r="E404" s="46">
        <f>IF(AND(E$403&gt;=$J$65,MOD(E$403-$J$65,$J$66)=0),$J$61*$J$67*$J$68^((E$403-$J$65)/$J$66),0)</f>
        <v>11.279414510999999</v>
      </c>
      <c r="F404" s="46">
        <f>IF(AND(F$403&gt;=$J$65,MOD(F$403-$J$65,$J$66)=0),$J$61*$J$67*$J$68^((F$403-$J$65)/$J$66),0)</f>
        <v>10.41642650676339</v>
      </c>
      <c r="G404" s="46">
        <f>IF(AND(G$403&gt;=$J$65,MOD(G$403-$J$65,$J$66)=0),$J$61*$J$67*$J$68^((G$403-$J$65)/$J$66),0)</f>
        <v>9.619465714730921</v>
      </c>
      <c r="H404" s="46">
        <f>IF(AND(H$403&gt;=$J$65,MOD(H$403-$J$65,$J$66)=0),$J$61*$J$67*$J$68^((H$403-$J$65)/$J$66),0)</f>
        <v>8.883480392896859</v>
      </c>
      <c r="I404" s="46">
        <f>IF(AND(I$403&gt;=$J$65,MOD(I$403-$J$65,$J$66)=0),$J$61*$J$67*$J$68^((I$403-$J$65)/$J$66),0)</f>
        <v>8.203805308036317</v>
      </c>
      <c r="J404" s="46">
        <f>IF(AND(J$403&gt;=$J$65,MOD(J$403-$J$65,$J$66)=0),$J$61*$J$67*$J$68^((J$403-$J$65)/$J$66),0)</f>
        <v>7.57613216391846</v>
      </c>
      <c r="K404" s="46">
        <f>IF(AND(K$403&gt;=$J$65,MOD(K$403-$J$65,$J$66)=0),$J$61*$J$67*$J$68^((K$403-$J$65)/$J$66),0)</f>
        <v>6.996482292057057</v>
      </c>
      <c r="L404" s="46">
        <f>IF(AND(L$403&gt;=$J$65,MOD(L$403-$J$65,$J$66)=0),$J$61*$J$67*$J$68^((L$403-$J$65)/$J$66),0)</f>
        <v>6.461181431891772</v>
      </c>
      <c r="M404" s="46">
        <f>IF(AND(M$403&gt;=$J$65,MOD(M$403-$J$65,$J$66)=0),$J$61*$J$67*$J$68^((M$403-$J$65)/$J$66),0)</f>
        <v>5.966836440537731</v>
      </c>
      <c r="N404" s="46">
        <f>IF(AND(N$403&gt;=$J$65,MOD(N$403-$J$65,$J$66)=0),$J$61*$J$67*$J$68^((N$403-$J$65)/$J$66),0)</f>
        <v>5.510313784472189</v>
      </c>
      <c r="O404" s="46">
        <f>IF(AND(O$403&gt;=$J$65,MOD(O$403-$J$65,$J$66)=0),$J$61*$J$67*$J$68^((O$403-$J$65)/$J$66),0)</f>
        <v>5.088719676822222</v>
      </c>
      <c r="P404" s="46">
        <f>IF(AND(P$403&gt;=$J$65,MOD(P$403-$J$65,$J$66)=0),$J$61*$J$67*$J$68^((P$403-$J$65)/$J$66),0)</f>
        <v>4.699381734348552</v>
      </c>
      <c r="Q404" s="46">
        <f>IF(AND(Q$403&gt;=$J$65,MOD(Q$403-$J$65,$J$66)=0),$J$61*$J$67*$J$68^((Q$403-$J$65)/$J$66),0)</f>
        <v>4.339832037853545</v>
      </c>
      <c r="R404" s="46">
        <f>IF(AND(R$403&gt;=$J$65,MOD(R$403-$J$65,$J$66)=0),$J$61*$J$67*$J$68^((R$403-$J$65)/$J$66),0)</f>
        <v>4.00779148863737</v>
      </c>
      <c r="S404" s="46">
        <f>IF(AND(S$403&gt;=$J$65,MOD(S$403-$J$65,$J$66)=0),$J$61*$J$67*$J$68^((S$403-$J$65)/$J$66),0)</f>
        <v>3.7011553618417246</v>
      </c>
      <c r="T404" s="46">
        <f>IF(AND(T$403&gt;=$J$65,MOD(T$403-$J$65,$J$66)=0),$J$61*$J$67*$J$68^((T$403-$J$65)/$J$66),0)</f>
        <v>3.417979965107213</v>
      </c>
      <c r="U404" s="46">
        <f>IF(AND(U$403&gt;=$J$65,MOD(U$403-$J$65,$J$66)=0),$J$61*$J$67*$J$68^((U$403-$J$65)/$J$66),0)</f>
        <v>3.1564703179768605</v>
      </c>
      <c r="V404" s="46">
        <f>IF(AND(V$403&gt;=$J$65,MOD(V$403-$J$65,$J$66)=0),$J$61*$J$67*$J$68^((V$403-$J$65)/$J$66),0)</f>
        <v>2.9149687739484507</v>
      </c>
      <c r="W404" s="46">
        <f>IF(AND(W$403&gt;=$J$65,MOD(W$403-$J$65,$J$66)=0),$J$61*$J$67*$J$68^((W$403-$J$65)/$J$66),0)</f>
        <v>2.691944513053654</v>
      </c>
      <c r="X404" s="46">
        <f>IF(AND(X$403&gt;=$J$65,MOD(X$403-$J$65,$J$66)=0),$J$61*$J$67*$J$68^((X$403-$J$65)/$J$66),0)</f>
        <v>2.485983838359919</v>
      </c>
      <c r="Y404" s="46">
        <f>IF(AND(Y$403&gt;=$J$65,MOD(Y$403-$J$65,$J$66)=0),$J$61*$J$67*$J$68^((Y$403-$J$65)/$J$66),0)</f>
        <v>2.2957812148870014</v>
      </c>
      <c r="Z404" s="46">
        <f>IF(AND(Z$403&gt;=$J$65,MOD(Z$403-$J$65,$J$66)=0),$J$61*$J$67*$J$68^((Z$403-$J$65)/$J$66),0)</f>
        <v>2.1201309941359967</v>
      </c>
    </row>
    <row r="405">
      <c r="A405" s="3" t="inlineStr">
        <is>
          <t>Occasional repeat orders</t>
        </is>
      </c>
      <c r="B405" s="48">
        <f>SUM(C405:Z405)</f>
        <v>25.400390625</v>
      </c>
      <c r="C405" s="46">
        <f>IF(AND(C$403&gt;=$J$70,MOD(C$403-$J$70,$J$71)=0),$J$62*$J$72^((C$403-$J$70)/$J$71),0)</f>
        <v>0.0</v>
      </c>
      <c r="D405" s="46">
        <f>IF(AND(D$403&gt;=$J$70,MOD(D$403-$J$70,$J$71)=0),$J$62*$J$72^((D$403-$J$70)/$J$71),0)</f>
        <v>12.75</v>
      </c>
      <c r="E405" s="46">
        <f>IF(AND(E$403&gt;=$J$70,MOD(E$403-$J$70,$J$71)=0),$J$62*$J$72^((E$403-$J$70)/$J$71),0)</f>
        <v>0.0</v>
      </c>
      <c r="F405" s="46">
        <f>IF(AND(F$403&gt;=$J$70,MOD(F$403-$J$70,$J$71)=0),$J$62*$J$72^((F$403-$J$70)/$J$71),0)</f>
        <v>0.0</v>
      </c>
      <c r="G405" s="46">
        <f>IF(AND(G$403&gt;=$J$70,MOD(G$403-$J$70,$J$71)=0),$J$62*$J$72^((G$403-$J$70)/$J$71),0)</f>
        <v>6.375</v>
      </c>
      <c r="H405" s="46">
        <f>IF(AND(H$403&gt;=$J$70,MOD(H$403-$J$70,$J$71)=0),$J$62*$J$72^((H$403-$J$70)/$J$71),0)</f>
        <v>0.0</v>
      </c>
      <c r="I405" s="46">
        <f>IF(AND(I$403&gt;=$J$70,MOD(I$403-$J$70,$J$71)=0),$J$62*$J$72^((I$403-$J$70)/$J$71),0)</f>
        <v>0.0</v>
      </c>
      <c r="J405" s="46">
        <f>IF(AND(J$403&gt;=$J$70,MOD(J$403-$J$70,$J$71)=0),$J$62*$J$72^((J$403-$J$70)/$J$71),0)</f>
        <v>3.1875</v>
      </c>
      <c r="K405" s="46">
        <f>IF(AND(K$403&gt;=$J$70,MOD(K$403-$J$70,$J$71)=0),$J$62*$J$72^((K$403-$J$70)/$J$71),0)</f>
        <v>0.0</v>
      </c>
      <c r="L405" s="46">
        <f>IF(AND(L$403&gt;=$J$70,MOD(L$403-$J$70,$J$71)=0),$J$62*$J$72^((L$403-$J$70)/$J$71),0)</f>
        <v>0.0</v>
      </c>
      <c r="M405" s="46">
        <f>IF(AND(M$403&gt;=$J$70,MOD(M$403-$J$70,$J$71)=0),$J$62*$J$72^((M$403-$J$70)/$J$71),0)</f>
        <v>1.59375</v>
      </c>
      <c r="N405" s="46">
        <f>IF(AND(N$403&gt;=$J$70,MOD(N$403-$J$70,$J$71)=0),$J$62*$J$72^((N$403-$J$70)/$J$71),0)</f>
        <v>0.0</v>
      </c>
      <c r="O405" s="46">
        <f>IF(AND(O$403&gt;=$J$70,MOD(O$403-$J$70,$J$71)=0),$J$62*$J$72^((O$403-$J$70)/$J$71),0)</f>
        <v>0.0</v>
      </c>
      <c r="P405" s="46">
        <f>IF(AND(P$403&gt;=$J$70,MOD(P$403-$J$70,$J$71)=0),$J$62*$J$72^((P$403-$J$70)/$J$71),0)</f>
        <v>0.796875</v>
      </c>
      <c r="Q405" s="46">
        <f>IF(AND(Q$403&gt;=$J$70,MOD(Q$403-$J$70,$J$71)=0),$J$62*$J$72^((Q$403-$J$70)/$J$71),0)</f>
        <v>0.0</v>
      </c>
      <c r="R405" s="46">
        <f>IF(AND(R$403&gt;=$J$70,MOD(R$403-$J$70,$J$71)=0),$J$62*$J$72^((R$403-$J$70)/$J$71),0)</f>
        <v>0.0</v>
      </c>
      <c r="S405" s="46">
        <f>IF(AND(S$403&gt;=$J$70,MOD(S$403-$J$70,$J$71)=0),$J$62*$J$72^((S$403-$J$70)/$J$71),0)</f>
        <v>0.3984375</v>
      </c>
      <c r="T405" s="46">
        <f>IF(AND(T$403&gt;=$J$70,MOD(T$403-$J$70,$J$71)=0),$J$62*$J$72^((T$403-$J$70)/$J$71),0)</f>
        <v>0.0</v>
      </c>
      <c r="U405" s="46">
        <f>IF(AND(U$403&gt;=$J$70,MOD(U$403-$J$70,$J$71)=0),$J$62*$J$72^((U$403-$J$70)/$J$71),0)</f>
        <v>0.0</v>
      </c>
      <c r="V405" s="46">
        <f>IF(AND(V$403&gt;=$J$70,MOD(V$403-$J$70,$J$71)=0),$J$62*$J$72^((V$403-$J$70)/$J$71),0)</f>
        <v>0.19921875</v>
      </c>
      <c r="W405" s="46">
        <f>IF(AND(W$403&gt;=$J$70,MOD(W$403-$J$70,$J$71)=0),$J$62*$J$72^((W$403-$J$70)/$J$71),0)</f>
        <v>0.0</v>
      </c>
      <c r="X405" s="46">
        <f>IF(AND(X$403&gt;=$J$70,MOD(X$403-$J$70,$J$71)=0),$J$62*$J$72^((X$403-$J$70)/$J$71),0)</f>
        <v>0.0</v>
      </c>
      <c r="Y405" s="46">
        <f>IF(AND(Y$403&gt;=$J$70,MOD(Y$403-$J$70,$J$71)=0),$J$62*$J$72^((Y$403-$J$70)/$J$71),0)</f>
        <v>0.099609375</v>
      </c>
      <c r="Z405" s="46">
        <f>IF(AND(Z$403&gt;=$J$70,MOD(Z$403-$J$70,$J$71)=0),$J$62*$J$72^((Z$403-$J$70)/$J$71),0)</f>
        <v>0.0</v>
      </c>
    </row>
    <row r="406">
      <c r="A406" s="3" t="inlineStr">
        <is>
          <t>Contribution before CAC</t>
        </is>
      </c>
      <c r="B406" s="30">
        <f>SUM(C406:Z406)</f>
        <v>4156.894661116104</v>
      </c>
      <c r="C406" s="33">
        <f>IF(C$403=1,$J$58*$J$39,0)+C404*$J$53+C405*$J$56</f>
        <v>3360.50453</v>
      </c>
      <c r="D406" s="33">
        <f>IF(D$403=1,$J$58*$J$39,0)+D404*$J$53+D405*$J$56</f>
        <v>158.29695945420002</v>
      </c>
      <c r="E406" s="33">
        <f>IF(E$403=1,$J$58*$J$39,0)+E404*$J$53+E405*$J$56</f>
        <v>49.45321683490915</v>
      </c>
      <c r="F406" s="33">
        <f>IF(F$403=1,$J$58*$J$39,0)+F404*$J$53+F405*$J$56</f>
        <v>45.66955121487025</v>
      </c>
      <c r="G406" s="33">
        <f>IF(G$403=1,$J$58*$J$39,0)+G404*$J$53+G405*$J$56</f>
        <v>94.54867635142053</v>
      </c>
      <c r="H406" s="33">
        <f>IF(H$403=1,$J$58*$J$39,0)+H404*$J$53+H405*$J$56</f>
        <v>38.94853599804834</v>
      </c>
      <c r="I406" s="33">
        <f>IF(I$403=1,$J$58*$J$39,0)+I404*$J$53+I405*$J$56</f>
        <v>35.96858350883765</v>
      </c>
      <c r="J406" s="33">
        <f>IF(J$403=1,$J$58*$J$39,0)+J404*$J$53+J405*$J$56</f>
        <v>59.40327843457649</v>
      </c>
      <c r="K406" s="33">
        <f>IF(K$403=1,$J$58*$J$39,0)+K404*$J$53+K405*$J$56</f>
        <v>30.675223038684535</v>
      </c>
      <c r="L406" s="33">
        <f>IF(L$403=1,$J$58*$J$39,0)+L404*$J$53+L405*$J$56</f>
        <v>28.328261723994782</v>
      </c>
      <c r="M406" s="33">
        <f>IF(M$403=1,$J$58*$J$39,0)+M404*$J$53+M405*$J$56</f>
        <v>39.25419204449194</v>
      </c>
      <c r="N406" s="33">
        <f>IF(N$403=1,$J$58*$J$39,0)+N404*$J$53+N405*$J$56</f>
        <v>24.159298529736603</v>
      </c>
      <c r="O406" s="33">
        <f>IF(O$403=1,$J$58*$J$39,0)+O404*$J$53+O405*$J$56</f>
        <v>22.310870599226458</v>
      </c>
      <c r="P406" s="33">
        <f>IF(P$403=1,$J$58*$J$39,0)+P404*$J$53+P405*$J$56</f>
        <v>27.150528702179635</v>
      </c>
      <c r="Q406" s="33">
        <f>IF(Q$403=1,$J$58*$J$39,0)+Q404*$J$53+Q405*$J$56</f>
        <v>19.027464110460247</v>
      </c>
      <c r="R406" s="33">
        <f>IF(R$403=1,$J$58*$J$39,0)+R404*$J$53+R405*$J$56</f>
        <v>17.571672831368932</v>
      </c>
      <c r="S406" s="33">
        <f>IF(S$403=1,$J$58*$J$39,0)+S404*$J$53+S405*$J$56</f>
        <v>19.500595549290896</v>
      </c>
      <c r="T406" s="33">
        <f>IF(T$403=1,$J$58*$J$39,0)+T404*$J$53+T405*$J$56</f>
        <v>14.985716163456832</v>
      </c>
      <c r="U406" s="33">
        <f>IF(U$403=1,$J$58*$J$39,0)+U404*$J$53+U405*$J$56</f>
        <v>13.83915901979075</v>
      </c>
      <c r="V406" s="33">
        <f>IF(V$403=1,$J$58*$J$39,0)+V404*$J$53+V405*$J$56</f>
        <v>14.41699066631156</v>
      </c>
      <c r="W406" s="33">
        <f>IF(W$403=1,$J$58*$J$39,0)+W404*$J$53+W405*$J$56</f>
        <v>11.802502300253154</v>
      </c>
      <c r="X406" s="33">
        <f>IF(X$403=1,$J$58*$J$39,0)+X404*$J$53+X405*$J$56</f>
        <v>10.899492849260785</v>
      </c>
      <c r="Y406" s="33">
        <f>IF(Y$403=1,$J$58*$J$39,0)+Y404*$J$53+Y405*$J$56</f>
        <v>10.883905502926341</v>
      </c>
      <c r="Z406" s="33">
        <f>IF(Z$403=1,$J$58*$J$39,0)+Z404*$J$53+Z405*$J$56</f>
        <v>9.295455687807992</v>
      </c>
    </row>
    <row r="407">
      <c r="A407" s="3" t="inlineStr">
        <is>
          <t>CAC</t>
        </is>
      </c>
      <c r="B407" s="30">
        <f>SUM(C407:Z407)</f>
        <v>-4500.0</v>
      </c>
      <c r="C407" s="33">
        <f>IF(C$403=1,-$J$58*$J$21,0)</f>
        <v>-4500.0</v>
      </c>
      <c r="D407" s="33">
        <f>IF(D$403=1,-$J$58*$J$21,0)</f>
        <v>0.0</v>
      </c>
      <c r="E407" s="33">
        <f>IF(E$403=1,-$J$58*$J$21,0)</f>
        <v>0.0</v>
      </c>
      <c r="F407" s="33">
        <f>IF(F$403=1,-$J$58*$J$21,0)</f>
        <v>0.0</v>
      </c>
      <c r="G407" s="33">
        <f>IF(G$403=1,-$J$58*$J$21,0)</f>
        <v>0.0</v>
      </c>
      <c r="H407" s="33">
        <f>IF(H$403=1,-$J$58*$J$21,0)</f>
        <v>0.0</v>
      </c>
      <c r="I407" s="33">
        <f>IF(I$403=1,-$J$58*$J$21,0)</f>
        <v>0.0</v>
      </c>
      <c r="J407" s="33">
        <f>IF(J$403=1,-$J$58*$J$21,0)</f>
        <v>0.0</v>
      </c>
      <c r="K407" s="33">
        <f>IF(K$403=1,-$J$58*$J$21,0)</f>
        <v>0.0</v>
      </c>
      <c r="L407" s="33">
        <f>IF(L$403=1,-$J$58*$J$21,0)</f>
        <v>0.0</v>
      </c>
      <c r="M407" s="33">
        <f>IF(M$403=1,-$J$58*$J$21,0)</f>
        <v>0.0</v>
      </c>
      <c r="N407" s="33">
        <f>IF(N$403=1,-$J$58*$J$21,0)</f>
        <v>0.0</v>
      </c>
      <c r="O407" s="33">
        <f>IF(O$403=1,-$J$58*$J$21,0)</f>
        <v>0.0</v>
      </c>
      <c r="P407" s="33">
        <f>IF(P$403=1,-$J$58*$J$21,0)</f>
        <v>0.0</v>
      </c>
      <c r="Q407" s="33">
        <f>IF(Q$403=1,-$J$58*$J$21,0)</f>
        <v>0.0</v>
      </c>
      <c r="R407" s="33">
        <f>IF(R$403=1,-$J$58*$J$21,0)</f>
        <v>0.0</v>
      </c>
      <c r="S407" s="33">
        <f>IF(S$403=1,-$J$58*$J$21,0)</f>
        <v>0.0</v>
      </c>
      <c r="T407" s="33">
        <f>IF(T$403=1,-$J$58*$J$21,0)</f>
        <v>0.0</v>
      </c>
      <c r="U407" s="33">
        <f>IF(U$403=1,-$J$58*$J$21,0)</f>
        <v>0.0</v>
      </c>
      <c r="V407" s="33">
        <f>IF(V$403=1,-$J$58*$J$21,0)</f>
        <v>0.0</v>
      </c>
      <c r="W407" s="33">
        <f>IF(W$403=1,-$J$58*$J$21,0)</f>
        <v>0.0</v>
      </c>
      <c r="X407" s="33">
        <f>IF(X$403=1,-$J$58*$J$21,0)</f>
        <v>0.0</v>
      </c>
      <c r="Y407" s="33">
        <f>IF(Y$403=1,-$J$58*$J$21,0)</f>
        <v>0.0</v>
      </c>
      <c r="Z407" s="33">
        <f>IF(Z$403=1,-$J$58*$J$21,0)</f>
        <v>0.0</v>
      </c>
    </row>
    <row r="408">
      <c r="A408" s="16" t="inlineStr">
        <is>
          <t>Cumulative contribution after CAC</t>
        </is>
      </c>
      <c r="C408" s="30">
        <f>C406+C407</f>
        <v>-1139.4954699999998</v>
      </c>
      <c r="D408" s="30">
        <f>C408+D406+D407</f>
        <v>-981.1985105457998</v>
      </c>
      <c r="E408" s="30">
        <f>D408+E406+E407</f>
        <v>-931.7452937108906</v>
      </c>
      <c r="F408" s="30">
        <f>E408+F406+F407</f>
        <v>-886.0757424960203</v>
      </c>
      <c r="G408" s="30">
        <f>F408+G406+G407</f>
        <v>-791.5270661445998</v>
      </c>
      <c r="H408" s="30">
        <f>G408+H406+H407</f>
        <v>-752.5785301465514</v>
      </c>
      <c r="I408" s="30">
        <f>H408+I406+I407</f>
        <v>-716.6099466377137</v>
      </c>
      <c r="J408" s="30">
        <f>I408+J406+J407</f>
        <v>-657.2066682031373</v>
      </c>
      <c r="K408" s="30">
        <f>J408+K406+K407</f>
        <v>-626.5314451644527</v>
      </c>
      <c r="L408" s="30">
        <f>K408+L406+L407</f>
        <v>-598.203183440458</v>
      </c>
      <c r="M408" s="30">
        <f>L408+M406+M407</f>
        <v>-558.9489913959661</v>
      </c>
      <c r="N408" s="30">
        <f>M408+N406+N407</f>
        <v>-534.7896928662295</v>
      </c>
      <c r="O408" s="30">
        <f>N408+O406+O407</f>
        <v>-512.4788222670031</v>
      </c>
      <c r="P408" s="30">
        <f>O408+P406+P407</f>
        <v>-485.32829356482347</v>
      </c>
      <c r="Q408" s="30">
        <f>P408+Q406+Q407</f>
        <v>-466.3008294543632</v>
      </c>
      <c r="R408" s="30">
        <f>Q408+R406+R407</f>
        <v>-448.7291566229943</v>
      </c>
      <c r="S408" s="30">
        <f>R408+S406+S407</f>
        <v>-429.2285610737034</v>
      </c>
      <c r="T408" s="30">
        <f>S408+T406+T407</f>
        <v>-414.24284491024656</v>
      </c>
      <c r="U408" s="30">
        <f>T408+U406+U407</f>
        <v>-400.4036858904558</v>
      </c>
      <c r="V408" s="30">
        <f>U408+V406+V407</f>
        <v>-385.9866952241442</v>
      </c>
      <c r="W408" s="30">
        <f>V408+W406+W407</f>
        <v>-374.1841929238911</v>
      </c>
      <c r="X408" s="30">
        <f>W408+X406+X407</f>
        <v>-363.2847000746303</v>
      </c>
      <c r="Y408" s="30">
        <f>X408+Y406+Y407</f>
        <v>-352.40079457170395</v>
      </c>
      <c r="Z408" s="30">
        <f>Y408+Z406+Z407</f>
        <v>-343.10533888389597</v>
      </c>
    </row>
    <row r="409">
      <c r="A409" s="3" t="inlineStr">
        <is>
          <t>Cumulative contribution before CAC per customer</t>
        </is>
      </c>
      <c r="C409" s="26">
        <f>SUM($C406:C406)/$J$58</f>
        <v>33.6050453</v>
      </c>
      <c r="D409" s="26">
        <f>SUM($C406:D406)/$J$58</f>
        <v>35.188014894542</v>
      </c>
      <c r="E409" s="26">
        <f>SUM($C406:E406)/$J$58</f>
        <v>35.682547062891096</v>
      </c>
      <c r="F409" s="26">
        <f>SUM($C406:F406)/$J$58</f>
        <v>36.139242575039795</v>
      </c>
      <c r="G409" s="26">
        <f>SUM($C406:G406)/$J$58</f>
        <v>37.084729338554006</v>
      </c>
      <c r="H409" s="26">
        <f>SUM($C406:H406)/$J$58</f>
        <v>37.47421469853448</v>
      </c>
      <c r="I409" s="26">
        <f>SUM($C406:I406)/$J$58</f>
        <v>37.83390053362286</v>
      </c>
      <c r="J409" s="26">
        <f>SUM($C406:J406)/$J$58</f>
        <v>38.42793331796863</v>
      </c>
      <c r="K409" s="26">
        <f>SUM($C406:K406)/$J$58</f>
        <v>38.73468554835547</v>
      </c>
      <c r="L409" s="26">
        <f>SUM($C406:L406)/$J$58</f>
        <v>39.01796816559542</v>
      </c>
      <c r="M409" s="26">
        <f>SUM($C406:M406)/$J$58</f>
        <v>39.41051008604034</v>
      </c>
      <c r="N409" s="26">
        <f>SUM($C406:N406)/$J$58</f>
        <v>39.652103071337706</v>
      </c>
      <c r="O409" s="26">
        <f>SUM($C406:O406)/$J$58</f>
        <v>39.875211777329966</v>
      </c>
      <c r="P409" s="26">
        <f>SUM($C406:P406)/$J$58</f>
        <v>40.14671706435176</v>
      </c>
      <c r="Q409" s="26">
        <f>SUM($C406:Q406)/$J$58</f>
        <v>40.33699170545637</v>
      </c>
      <c r="R409" s="26">
        <f>SUM($C406:R406)/$J$58</f>
        <v>40.51270843377006</v>
      </c>
      <c r="S409" s="26">
        <f>SUM($C406:S406)/$J$58</f>
        <v>40.70771438926297</v>
      </c>
      <c r="T409" s="26">
        <f>SUM($C406:T406)/$J$58</f>
        <v>40.85757155089753</v>
      </c>
      <c r="U409" s="26">
        <f>SUM($C406:U406)/$J$58</f>
        <v>40.995963141095444</v>
      </c>
      <c r="V409" s="26">
        <f>SUM($C406:V406)/$J$58</f>
        <v>41.14013304775855</v>
      </c>
      <c r="W409" s="26">
        <f>SUM($C406:W406)/$J$58</f>
        <v>41.25815807076109</v>
      </c>
      <c r="X409" s="26">
        <f>SUM($C406:X406)/$J$58</f>
        <v>41.3671529992537</v>
      </c>
      <c r="Y409" s="26">
        <f>SUM($C406:Y406)/$J$58</f>
        <v>41.47599205428296</v>
      </c>
      <c r="Z409" s="26">
        <f>SUM($C406:Z406)/$J$58</f>
        <v>41.56894661116104</v>
      </c>
    </row>
    <row r="410">
      <c r="A410" s="3" t="inlineStr">
        <is>
          <t>Payback helper (month if cumulative &gt;= 0, else 99)</t>
        </is>
      </c>
      <c r="C410" s="51">
        <f>IF(C408&gt;=0,C$403,99)</f>
        <v>99.0</v>
      </c>
      <c r="D410" s="51">
        <f>IF(D408&gt;=0,D$403,99)</f>
        <v>99.0</v>
      </c>
      <c r="E410" s="51">
        <f>IF(E408&gt;=0,E$403,99)</f>
        <v>99.0</v>
      </c>
      <c r="F410" s="51">
        <f>IF(F408&gt;=0,F$403,99)</f>
        <v>99.0</v>
      </c>
      <c r="G410" s="51">
        <f>IF(G408&gt;=0,G$403,99)</f>
        <v>99.0</v>
      </c>
      <c r="H410" s="51">
        <f>IF(H408&gt;=0,H$403,99)</f>
        <v>99.0</v>
      </c>
      <c r="I410" s="51">
        <f>IF(I408&gt;=0,I$403,99)</f>
        <v>99.0</v>
      </c>
      <c r="J410" s="51">
        <f>IF(J408&gt;=0,J$403,99)</f>
        <v>99.0</v>
      </c>
      <c r="K410" s="51">
        <f>IF(K408&gt;=0,K$403,99)</f>
        <v>99.0</v>
      </c>
      <c r="L410" s="51">
        <f>IF(L408&gt;=0,L$403,99)</f>
        <v>99.0</v>
      </c>
      <c r="M410" s="51">
        <f>IF(M408&gt;=0,M$403,99)</f>
        <v>99.0</v>
      </c>
      <c r="N410" s="51">
        <f>IF(N408&gt;=0,N$403,99)</f>
        <v>99.0</v>
      </c>
      <c r="O410" s="51">
        <f>IF(O408&gt;=0,O$403,99)</f>
        <v>99.0</v>
      </c>
      <c r="P410" s="51">
        <f>IF(P408&gt;=0,P$403,99)</f>
        <v>99.0</v>
      </c>
      <c r="Q410" s="51">
        <f>IF(Q408&gt;=0,Q$403,99)</f>
        <v>99.0</v>
      </c>
      <c r="R410" s="51">
        <f>IF(R408&gt;=0,R$403,99)</f>
        <v>99.0</v>
      </c>
      <c r="S410" s="51">
        <f>IF(S408&gt;=0,S$403,99)</f>
        <v>99.0</v>
      </c>
      <c r="T410" s="51">
        <f>IF(T408&gt;=0,T$403,99)</f>
        <v>99.0</v>
      </c>
      <c r="U410" s="51">
        <f>IF(U408&gt;=0,U$403,99)</f>
        <v>99.0</v>
      </c>
      <c r="V410" s="51">
        <f>IF(V408&gt;=0,V$403,99)</f>
        <v>99.0</v>
      </c>
      <c r="W410" s="51">
        <f>IF(W408&gt;=0,W$403,99)</f>
        <v>99.0</v>
      </c>
      <c r="X410" s="51">
        <f>IF(X408&gt;=0,X$403,99)</f>
        <v>99.0</v>
      </c>
      <c r="Y410" s="51">
        <f>IF(Y408&gt;=0,Y$403,99)</f>
        <v>99.0</v>
      </c>
      <c r="Z410" s="51">
        <f>IF(Z408&gt;=0,Z$403,99)</f>
        <v>99.0</v>
      </c>
    </row>
  </sheetData>
  <conditionalFormatting sqref="C115:J115">
    <cfRule type="cellIs" priority="1" operator="equal" dxfId="1">
      <formula>"GO"</formula>
    </cfRule>
    <cfRule type="cellIs" priority="2" operator="equal" dxfId="2">
      <formula>"CONDITIONAL"</formula>
    </cfRule>
    <cfRule type="cellIs" priority="3" operator="equal" dxfId="0">
      <formula>"NO-GO"</formula>
    </cfRule>
  </conditionalFormatting>
  <conditionalFormatting sqref="C119:J119">
    <cfRule type="cellIs" priority="4" operator="equal" dxfId="1">
      <formula>"GO"</formula>
    </cfRule>
    <cfRule type="cellIs" priority="5" operator="equal" dxfId="2">
      <formula>"CONDITIONAL"</formula>
    </cfRule>
    <cfRule type="cellIs" priority="6" operator="equal" dxfId="0">
      <formula>"NO-GO"</formula>
    </cfRule>
  </conditionalFormatting>
  <conditionalFormatting sqref="C123:J123">
    <cfRule type="cellIs" priority="7" operator="equal" dxfId="1">
      <formula>"GO"</formula>
    </cfRule>
    <cfRule type="cellIs" priority="8" operator="equal" dxfId="2">
      <formula>"CONDITIONAL"</formula>
    </cfRule>
    <cfRule type="cellIs" priority="9" operator="equal" dxfId="0">
      <formula>"NO-GO"</formula>
    </cfRule>
  </conditionalFormatting>
  <conditionalFormatting sqref="C127:J127">
    <cfRule type="cellIs" priority="10" operator="equal" dxfId="1">
      <formula>"GO"</formula>
    </cfRule>
    <cfRule type="cellIs" priority="11" operator="equal" dxfId="2">
      <formula>"CONDITIONAL"</formula>
    </cfRule>
    <cfRule type="cellIs" priority="12" operator="equal" dxfId="0">
      <formula>"NO-GO"</formula>
    </cfRule>
  </conditionalFormatting>
  <conditionalFormatting sqref="C131:J131">
    <cfRule type="cellIs" priority="13" operator="equal" dxfId="1">
      <formula>"GO"</formula>
    </cfRule>
    <cfRule type="cellIs" priority="14" operator="equal" dxfId="2">
      <formula>"CONDITIONAL"</formula>
    </cfRule>
    <cfRule type="cellIs" priority="15" operator="equal" dxfId="0">
      <formula>"NO-GO"</formula>
    </cfRule>
  </conditionalFormatting>
  <conditionalFormatting sqref="C135:J135">
    <cfRule type="cellIs" priority="16" operator="equal" dxfId="1">
      <formula>"GO"</formula>
    </cfRule>
    <cfRule type="cellIs" priority="17" operator="equal" dxfId="2">
      <formula>"CONDITIONAL"</formula>
    </cfRule>
    <cfRule type="cellIs" priority="18" operator="equal" dxfId="0">
      <formula>"NO-GO"</formula>
    </cfRule>
  </conditionalFormatting>
  <conditionalFormatting sqref="C139:J139">
    <cfRule type="cellIs" priority="19" operator="equal" dxfId="1">
      <formula>"GO"</formula>
    </cfRule>
    <cfRule type="cellIs" priority="20" operator="equal" dxfId="2">
      <formula>"CONDITIONAL"</formula>
    </cfRule>
    <cfRule type="cellIs" priority="21" operator="equal" dxfId="0">
      <formula>"NO-GO"</formula>
    </cfRule>
  </conditionalFormatting>
  <conditionalFormatting sqref="C143:J143">
    <cfRule type="cellIs" priority="22" operator="equal" dxfId="1">
      <formula>"GO"</formula>
    </cfRule>
    <cfRule type="cellIs" priority="23" operator="equal" dxfId="2">
      <formula>"CONDITIONAL"</formula>
    </cfRule>
    <cfRule type="cellIs" priority="24" operator="equal" dxfId="0">
      <formula>"NO-GO"</formula>
    </cfRule>
  </conditionalFormatting>
  <conditionalFormatting sqref="C147:J147">
    <cfRule type="cellIs" priority="25" operator="equal" dxfId="1">
      <formula>"GO"</formula>
    </cfRule>
    <cfRule type="cellIs" priority="26" operator="equal" dxfId="2">
      <formula>"CONDITIONAL"</formula>
    </cfRule>
    <cfRule type="cellIs" priority="27" operator="equal" dxfId="0">
      <formula>"NO-GO"</formula>
    </cfRule>
  </conditionalFormatting>
  <conditionalFormatting sqref="C151:J151">
    <cfRule type="cellIs" priority="28" operator="equal" dxfId="1">
      <formula>"GO"</formula>
    </cfRule>
    <cfRule type="cellIs" priority="29" operator="equal" dxfId="2">
      <formula>"CONDITIONAL"</formula>
    </cfRule>
    <cfRule type="cellIs" priority="30" operator="equal" dxfId="0">
      <formula>"NO-GO"</formula>
    </cfRule>
  </conditionalFormatting>
  <conditionalFormatting sqref="C155:J155">
    <cfRule type="cellIs" priority="31" operator="equal" dxfId="1">
      <formula>"GO"</formula>
    </cfRule>
    <cfRule type="cellIs" priority="32" operator="equal" dxfId="2">
      <formula>"CONDITIONAL"</formula>
    </cfRule>
    <cfRule type="cellIs" priority="33" operator="equal" dxfId="0">
      <formula>"NO-GO"</formula>
    </cfRule>
  </conditionalFormatting>
  <conditionalFormatting sqref="C159:J159">
    <cfRule type="cellIs" priority="34" operator="equal" dxfId="1">
      <formula>"GO"</formula>
    </cfRule>
    <cfRule type="cellIs" priority="35" operator="equal" dxfId="2">
      <formula>"CONDITIONAL"</formula>
    </cfRule>
    <cfRule type="cellIs" priority="36" operator="equal" dxfId="0">
      <formula>"NO-GO"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2026-10-20T01:03:58Z</dcterms:created>
  <dcterms:modified xmlns:dcterms="http://purl.org/dc/terms/" xmlns:xsi="http://www.w3.org/2001/XMLSchema-instance" xsi:type="dcterms:W3CDTF">2026-10-20T01:04:00Z</dcterms:modified>
</cp:coreProperties>
</file>